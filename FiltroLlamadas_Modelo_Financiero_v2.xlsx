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bastian Orpis\Desktop\FiltroLlamadas\"/>
    </mc:Choice>
  </mc:AlternateContent>
  <xr:revisionPtr revIDLastSave="0" documentId="13_ncr:1_{E5E96F1F-921E-4FA2-84AD-135EA150E431}" xr6:coauthVersionLast="47" xr6:coauthVersionMax="47" xr10:uidLastSave="{00000000-0000-0000-0000-000000000000}"/>
  <bookViews>
    <workbookView xWindow="-108" yWindow="-108" windowWidth="23256" windowHeight="13896" tabRatio="500" firstSheet="2" activeTab="4" xr2:uid="{00000000-000D-0000-FFFF-FFFF00000000}"/>
  </bookViews>
  <sheets>
    <sheet name="Cuentas &amp; Servicios" sheetId="1" r:id="rId1"/>
    <sheet name="Base de Datos" sheetId="2" r:id="rId2"/>
    <sheet name="Costos Operacionales" sheetId="3" r:id="rId3"/>
    <sheet name="Modelo Financiero" sheetId="4" r:id="rId4"/>
    <sheet name="Proyección 12 Meses" sheetId="5" r:id="rId5"/>
    <sheet name="Break-Even" sheetId="6" r:id="rId6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5" l="1"/>
  <c r="B18" i="5"/>
  <c r="B17" i="5"/>
  <c r="N19" i="5"/>
  <c r="M19" i="5"/>
  <c r="L19" i="5"/>
  <c r="K19" i="5"/>
  <c r="J19" i="5"/>
  <c r="I19" i="5"/>
  <c r="H19" i="5"/>
  <c r="G19" i="5"/>
  <c r="F19" i="5"/>
  <c r="E19" i="5"/>
  <c r="D19" i="5"/>
  <c r="C19" i="5"/>
  <c r="D31" i="3"/>
  <c r="D30" i="3"/>
  <c r="D29" i="3"/>
  <c r="D28" i="3"/>
  <c r="D27" i="3"/>
  <c r="B11" i="5"/>
  <c r="B25" i="6"/>
  <c r="B20" i="6"/>
  <c r="B22" i="6" s="1"/>
  <c r="B19" i="6"/>
  <c r="B21" i="6" s="1"/>
  <c r="B18" i="6"/>
  <c r="B8" i="6"/>
  <c r="B7" i="6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M26" i="5" s="1"/>
  <c r="L24" i="5"/>
  <c r="L26" i="5" s="1"/>
  <c r="K24" i="5"/>
  <c r="K26" i="5" s="1"/>
  <c r="J24" i="5"/>
  <c r="J26" i="5" s="1"/>
  <c r="I24" i="5"/>
  <c r="I26" i="5" s="1"/>
  <c r="H24" i="5"/>
  <c r="G24" i="5"/>
  <c r="F24" i="5"/>
  <c r="F26" i="5" s="1"/>
  <c r="E24" i="5"/>
  <c r="E26" i="5" s="1"/>
  <c r="D24" i="5"/>
  <c r="C24" i="5"/>
  <c r="B24" i="5"/>
  <c r="B6" i="5"/>
  <c r="B5" i="5"/>
  <c r="B10" i="5" s="1"/>
  <c r="B4" i="5"/>
  <c r="B20" i="5" s="1"/>
  <c r="C31" i="3"/>
  <c r="C30" i="3"/>
  <c r="C29" i="3"/>
  <c r="C28" i="3"/>
  <c r="C27" i="3"/>
  <c r="B23" i="3"/>
  <c r="C23" i="3" s="1"/>
  <c r="C22" i="3"/>
  <c r="B22" i="3"/>
  <c r="C21" i="3"/>
  <c r="C20" i="3"/>
  <c r="C19" i="3"/>
  <c r="C18" i="3"/>
  <c r="C17" i="3"/>
  <c r="C16" i="3"/>
  <c r="C15" i="3"/>
  <c r="B11" i="3"/>
  <c r="C11" i="3" s="1"/>
  <c r="C10" i="3"/>
  <c r="C9" i="3"/>
  <c r="C8" i="3"/>
  <c r="C7" i="3"/>
  <c r="C6" i="3"/>
  <c r="C5" i="3"/>
  <c r="E9" i="2"/>
  <c r="E8" i="2"/>
  <c r="E7" i="2"/>
  <c r="E6" i="2"/>
  <c r="E5" i="2"/>
  <c r="E10" i="2" s="1"/>
  <c r="B13" i="2" s="1"/>
  <c r="E13" i="1"/>
  <c r="G26" i="5" l="1"/>
  <c r="H26" i="5"/>
  <c r="C4" i="5"/>
  <c r="D4" i="5" s="1"/>
  <c r="C26" i="5"/>
  <c r="D26" i="5"/>
  <c r="C5" i="5"/>
  <c r="B12" i="5"/>
  <c r="N25" i="5"/>
  <c r="C6" i="5"/>
  <c r="B7" i="5"/>
  <c r="B17" i="2" s="1"/>
  <c r="B18" i="2" s="1"/>
  <c r="B4" i="6"/>
  <c r="B26" i="5"/>
  <c r="N24" i="5"/>
  <c r="C18" i="5" l="1"/>
  <c r="C11" i="5"/>
  <c r="N26" i="5"/>
  <c r="B3" i="6"/>
  <c r="D6" i="5"/>
  <c r="D11" i="5" s="1"/>
  <c r="B13" i="5"/>
  <c r="B14" i="5" s="1"/>
  <c r="C10" i="5"/>
  <c r="D5" i="5"/>
  <c r="B19" i="2"/>
  <c r="B20" i="2" s="1"/>
  <c r="C18" i="2"/>
  <c r="D20" i="5"/>
  <c r="D7" i="5"/>
  <c r="D17" i="2" s="1"/>
  <c r="E4" i="5"/>
  <c r="C20" i="5"/>
  <c r="C17" i="5"/>
  <c r="C21" i="5" s="1"/>
  <c r="C29" i="5" s="1"/>
  <c r="B21" i="5"/>
  <c r="C7" i="5"/>
  <c r="C17" i="2" s="1"/>
  <c r="D17" i="5" l="1"/>
  <c r="D18" i="2"/>
  <c r="C19" i="2"/>
  <c r="C20" i="2" s="1"/>
  <c r="D10" i="5"/>
  <c r="E5" i="5"/>
  <c r="E17" i="5" s="1"/>
  <c r="C12" i="5"/>
  <c r="B10" i="6"/>
  <c r="B29" i="5"/>
  <c r="B30" i="5"/>
  <c r="E6" i="5"/>
  <c r="E11" i="5" s="1"/>
  <c r="D18" i="5"/>
  <c r="D21" i="5" s="1"/>
  <c r="D29" i="5" s="1"/>
  <c r="B14" i="6"/>
  <c r="B12" i="6"/>
  <c r="F4" i="5"/>
  <c r="E20" i="5" l="1"/>
  <c r="E7" i="5"/>
  <c r="E17" i="2" s="1"/>
  <c r="E18" i="5"/>
  <c r="C13" i="5"/>
  <c r="C14" i="5"/>
  <c r="E10" i="5"/>
  <c r="F5" i="5"/>
  <c r="G4" i="5"/>
  <c r="B31" i="5"/>
  <c r="B32" i="5" s="1"/>
  <c r="E21" i="5"/>
  <c r="E29" i="5" s="1"/>
  <c r="D12" i="5"/>
  <c r="F6" i="5"/>
  <c r="E18" i="2"/>
  <c r="D19" i="2"/>
  <c r="D20" i="2" s="1"/>
  <c r="F18" i="5" l="1"/>
  <c r="F11" i="5"/>
  <c r="F17" i="5"/>
  <c r="F7" i="5"/>
  <c r="F17" i="2" s="1"/>
  <c r="F18" i="2" s="1"/>
  <c r="C30" i="5"/>
  <c r="H4" i="5"/>
  <c r="E19" i="2"/>
  <c r="E20" i="2" s="1"/>
  <c r="G6" i="5"/>
  <c r="G11" i="5" s="1"/>
  <c r="G5" i="5"/>
  <c r="G17" i="5" s="1"/>
  <c r="F10" i="5"/>
  <c r="F12" i="5" s="1"/>
  <c r="E12" i="5"/>
  <c r="D13" i="5"/>
  <c r="D14" i="5"/>
  <c r="D30" i="5" s="1"/>
  <c r="F20" i="5"/>
  <c r="F21" i="5" l="1"/>
  <c r="F29" i="5" s="1"/>
  <c r="G7" i="5"/>
  <c r="G17" i="2" s="1"/>
  <c r="G20" i="5"/>
  <c r="G18" i="5"/>
  <c r="G18" i="2"/>
  <c r="F19" i="2"/>
  <c r="F20" i="2" s="1"/>
  <c r="D31" i="5"/>
  <c r="D32" i="5"/>
  <c r="G21" i="5"/>
  <c r="G29" i="5" s="1"/>
  <c r="C31" i="5"/>
  <c r="H5" i="5"/>
  <c r="G10" i="5"/>
  <c r="G12" i="5" s="1"/>
  <c r="H6" i="5"/>
  <c r="H11" i="5" s="1"/>
  <c r="I4" i="5"/>
  <c r="E13" i="5"/>
  <c r="E14" i="5" s="1"/>
  <c r="F13" i="5"/>
  <c r="F14" i="5" s="1"/>
  <c r="F30" i="5" s="1"/>
  <c r="F31" i="5" l="1"/>
  <c r="F32" i="5" s="1"/>
  <c r="E30" i="5"/>
  <c r="H10" i="5"/>
  <c r="H12" i="5" s="1"/>
  <c r="I5" i="5"/>
  <c r="G13" i="5"/>
  <c r="G14" i="5" s="1"/>
  <c r="C32" i="5"/>
  <c r="H20" i="5"/>
  <c r="G19" i="2"/>
  <c r="G20" i="2" s="1"/>
  <c r="H7" i="5"/>
  <c r="H17" i="2" s="1"/>
  <c r="H18" i="2" s="1"/>
  <c r="I6" i="5"/>
  <c r="I11" i="5" s="1"/>
  <c r="J4" i="5"/>
  <c r="H18" i="5"/>
  <c r="H17" i="5"/>
  <c r="I7" i="5" l="1"/>
  <c r="I17" i="2" s="1"/>
  <c r="I17" i="5"/>
  <c r="I18" i="5"/>
  <c r="G30" i="5"/>
  <c r="H21" i="5"/>
  <c r="H29" i="5" s="1"/>
  <c r="H19" i="2"/>
  <c r="H20" i="2" s="1"/>
  <c r="I18" i="2"/>
  <c r="I20" i="5"/>
  <c r="I21" i="5" s="1"/>
  <c r="I29" i="5" s="1"/>
  <c r="H13" i="5"/>
  <c r="H14" i="5" s="1"/>
  <c r="H30" i="5" s="1"/>
  <c r="E31" i="5"/>
  <c r="E32" i="5"/>
  <c r="J17" i="5"/>
  <c r="K4" i="5"/>
  <c r="J5" i="5"/>
  <c r="I10" i="5"/>
  <c r="J6" i="5"/>
  <c r="J11" i="5" s="1"/>
  <c r="H31" i="5" l="1"/>
  <c r="H32" i="5" s="1"/>
  <c r="I12" i="5"/>
  <c r="K5" i="5"/>
  <c r="J10" i="5"/>
  <c r="J7" i="5"/>
  <c r="J17" i="2" s="1"/>
  <c r="J18" i="2" s="1"/>
  <c r="I19" i="2"/>
  <c r="I20" i="2" s="1"/>
  <c r="J18" i="5"/>
  <c r="K6" i="5"/>
  <c r="K11" i="5" s="1"/>
  <c r="L4" i="5"/>
  <c r="J20" i="5"/>
  <c r="G31" i="5"/>
  <c r="G32" i="5"/>
  <c r="K18" i="5" l="1"/>
  <c r="J21" i="5"/>
  <c r="J29" i="5" s="1"/>
  <c r="J19" i="2"/>
  <c r="J20" i="2" s="1"/>
  <c r="L6" i="5"/>
  <c r="L11" i="5" s="1"/>
  <c r="J12" i="5"/>
  <c r="L5" i="5"/>
  <c r="K10" i="5"/>
  <c r="K12" i="5" s="1"/>
  <c r="I13" i="5"/>
  <c r="I14" i="5" s="1"/>
  <c r="I30" i="5" s="1"/>
  <c r="K7" i="5"/>
  <c r="K17" i="2" s="1"/>
  <c r="K18" i="2" s="1"/>
  <c r="K17" i="5"/>
  <c r="M4" i="5"/>
  <c r="L7" i="5"/>
  <c r="L17" i="2" s="1"/>
  <c r="L20" i="5"/>
  <c r="K20" i="5"/>
  <c r="K21" i="5" l="1"/>
  <c r="K29" i="5" s="1"/>
  <c r="K19" i="2"/>
  <c r="K20" i="2" s="1"/>
  <c r="L18" i="2"/>
  <c r="I31" i="5"/>
  <c r="I32" i="5" s="1"/>
  <c r="N4" i="5"/>
  <c r="K13" i="5"/>
  <c r="K14" i="5" s="1"/>
  <c r="K30" i="5" s="1"/>
  <c r="M5" i="5"/>
  <c r="L10" i="5"/>
  <c r="L12" i="5" s="1"/>
  <c r="J13" i="5"/>
  <c r="J14" i="5" s="1"/>
  <c r="J30" i="5" s="1"/>
  <c r="M6" i="5"/>
  <c r="M11" i="5" s="1"/>
  <c r="L17" i="5"/>
  <c r="L18" i="5"/>
  <c r="K31" i="5" l="1"/>
  <c r="K32" i="5" s="1"/>
  <c r="J31" i="5"/>
  <c r="J32" i="5" s="1"/>
  <c r="L13" i="5"/>
  <c r="L14" i="5" s="1"/>
  <c r="L30" i="5" s="1"/>
  <c r="L21" i="5"/>
  <c r="L29" i="5" s="1"/>
  <c r="N6" i="5"/>
  <c r="N11" i="5" s="1"/>
  <c r="L19" i="2"/>
  <c r="L20" i="2" s="1"/>
  <c r="N5" i="5"/>
  <c r="M10" i="5"/>
  <c r="M17" i="5"/>
  <c r="M18" i="5"/>
  <c r="N18" i="5" s="1"/>
  <c r="M7" i="5"/>
  <c r="M20" i="5"/>
  <c r="N20" i="5" s="1"/>
  <c r="L31" i="5" l="1"/>
  <c r="L32" i="5" s="1"/>
  <c r="M12" i="5"/>
  <c r="N10" i="5"/>
  <c r="N7" i="5"/>
  <c r="M17" i="2"/>
  <c r="M18" i="2" s="1"/>
  <c r="M19" i="2" s="1"/>
  <c r="M20" i="2" s="1"/>
  <c r="M21" i="5"/>
  <c r="N17" i="5"/>
  <c r="M29" i="5" l="1"/>
  <c r="N29" i="5" s="1"/>
  <c r="N21" i="5"/>
  <c r="M13" i="5"/>
  <c r="N13" i="5" s="1"/>
  <c r="N12" i="5"/>
  <c r="M14" i="5" l="1"/>
  <c r="M30" i="5" l="1"/>
  <c r="N14" i="5"/>
  <c r="M31" i="5" l="1"/>
  <c r="N31" i="5" s="1"/>
  <c r="M32" i="5"/>
  <c r="N30" i="5"/>
  <c r="N32" i="5" s="1"/>
</calcChain>
</file>

<file path=xl/sharedStrings.xml><?xml version="1.0" encoding="utf-8"?>
<sst xmlns="http://schemas.openxmlformats.org/spreadsheetml/2006/main" count="399" uniqueCount="341">
  <si>
    <t>Servicio</t>
  </si>
  <si>
    <t>Tipo</t>
  </si>
  <si>
    <t>Uso en FiltroLlamadas</t>
  </si>
  <si>
    <t>Modelo de Cobro</t>
  </si>
  <si>
    <t>Costo Base (USD/mes)</t>
  </si>
  <si>
    <t>Variable</t>
  </si>
  <si>
    <t>Credenciales / Env Var</t>
  </si>
  <si>
    <t>URL Consola</t>
  </si>
  <si>
    <t>Estado</t>
  </si>
  <si>
    <t>Twilio</t>
  </si>
  <si>
    <t>Telefonía + WhatsApp</t>
  </si>
  <si>
    <t>Voz entrante, TTS Polly, WhatsApp msgs</t>
  </si>
  <si>
    <t>Pay-per-use</t>
  </si>
  <si>
    <t>~$0.02/min voz + $0.005/msg WA + $1.15/num</t>
  </si>
  <si>
    <t>TWILIO_ACCOUNT_SID, TWILIO_AUTH_TOKEN, TWILIO_WHATSAPP_NUMBER</t>
  </si>
  <si>
    <t>https://console.twilio.com</t>
  </si>
  <si>
    <t>Activo</t>
  </si>
  <si>
    <t>OpenAI</t>
  </si>
  <si>
    <t>LLM (GPT-4o-mini)</t>
  </si>
  <si>
    <t>Conversación IA + análisis post-llamada</t>
  </si>
  <si>
    <t>Pay-per-token</t>
  </si>
  <si>
    <t>$0.15/1M input + $0.60/1M output tokens</t>
  </si>
  <si>
    <t>OPENAI_API_KEY</t>
  </si>
  <si>
    <t>https://platform.openai.com</t>
  </si>
  <si>
    <t>ElevenLabs</t>
  </si>
  <si>
    <t>TTS Premium</t>
  </si>
  <si>
    <t>Voces ultra-realistas (Pro/Premium)</t>
  </si>
  <si>
    <t>Suscripción + uso</t>
  </si>
  <si>
    <t>$5/mes Starter (30K chars) o $0.18/1K chars</t>
  </si>
  <si>
    <t>ELEVENLABS_API_KEY, ELEVENLABS_VOICE_ID</t>
  </si>
  <si>
    <t>https://elevenlabs.io</t>
  </si>
  <si>
    <t>Railway</t>
  </si>
  <si>
    <t>Hosting Backend</t>
  </si>
  <si>
    <t>FastAPI + PostgreSQL en producción</t>
  </si>
  <si>
    <t>$5/mes Hobby (incluye $5 crédito uso)</t>
  </si>
  <si>
    <t>DATABASE_URL, BASE_URL</t>
  </si>
  <si>
    <t>https://railway.app/dashboard</t>
  </si>
  <si>
    <t>Railway PostgreSQL</t>
  </si>
  <si>
    <t>Base de Datos</t>
  </si>
  <si>
    <t>Incluido en Railway (mismo proyecto)</t>
  </si>
  <si>
    <t>Incluido</t>
  </si>
  <si>
    <t>Incluido en los $5 de Railway</t>
  </si>
  <si>
    <t>DATABASE_URL</t>
  </si>
  <si>
    <t>Google Cloud</t>
  </si>
  <si>
    <t>OAuth2 Calendar API</t>
  </si>
  <si>
    <t>Integración Google Calendar (Pro)</t>
  </si>
  <si>
    <t>Gratis</t>
  </si>
  <si>
    <t>Gratis hasta millones de requests</t>
  </si>
  <si>
    <t>GOOGLE_CLIENT_ID, GOOGLE_CLIENT_SECRET</t>
  </si>
  <si>
    <t>https://console.cloud.google.com</t>
  </si>
  <si>
    <t>Microsoft Azure AD</t>
  </si>
  <si>
    <t>Integración Outlook Calendar (Pro)</t>
  </si>
  <si>
    <t>Gratis tier básico</t>
  </si>
  <si>
    <t>OUTLOOK_CLIENT_ID, OUTLOOK_CLIENT_SECRET</t>
  </si>
  <si>
    <t>https://portal.azure.com</t>
  </si>
  <si>
    <t>Pendiente</t>
  </si>
  <si>
    <t>Apple Developer</t>
  </si>
  <si>
    <t>App Store</t>
  </si>
  <si>
    <t>Publicación iOS + In-App Purchases</t>
  </si>
  <si>
    <t>Anual</t>
  </si>
  <si>
    <t>$99/año = $8.25/mes</t>
  </si>
  <si>
    <t>Apple Developer Account</t>
  </si>
  <si>
    <t>https://developer.apple.com</t>
  </si>
  <si>
    <t>Apple App Store</t>
  </si>
  <si>
    <t>Comisión ventas</t>
  </si>
  <si>
    <t>15% de cada suscripción (Small Business)</t>
  </si>
  <si>
    <t>% ventas</t>
  </si>
  <si>
    <t>15% de revenue (&lt; $1M USD/año)</t>
  </si>
  <si>
    <t>N/A</t>
  </si>
  <si>
    <t>https://appstoreconnect.apple.com</t>
  </si>
  <si>
    <t>GitHub</t>
  </si>
  <si>
    <t>Repositorio</t>
  </si>
  <si>
    <t>Código fuente del proyecto</t>
  </si>
  <si>
    <t>Gratis (repo privado)</t>
  </si>
  <si>
    <t>https://github.com</t>
  </si>
  <si>
    <t>RevenueCat (recomendado)</t>
  </si>
  <si>
    <t>Gestión suscripciones</t>
  </si>
  <si>
    <t>Manejo IAP Apple/Google, analytics</t>
  </si>
  <si>
    <t>Gratis hasta $2.5K</t>
  </si>
  <si>
    <t>Gratis &lt; $2,500 MRR, luego 1%</t>
  </si>
  <si>
    <t>https://revenuecat.com</t>
  </si>
  <si>
    <t>TOTAL COSTO BASE MENSUAL</t>
  </si>
  <si>
    <t>MercadoPago</t>
  </si>
  <si>
    <t>Pagos Web</t>
  </si>
  <si>
    <t>Suscripciones Pro/Premium vía web</t>
  </si>
  <si>
    <t>Comisión</t>
  </si>
  <si>
    <t>~3.49% + IVA por transacción</t>
  </si>
  <si>
    <t>MERCADOPAGO_ACCESS_TOKEN</t>
  </si>
  <si>
    <t>https://mercadopago.cl/developers</t>
  </si>
  <si>
    <t>Dominio (.cl/.com)</t>
  </si>
  <si>
    <t>DNS + Identidad</t>
  </si>
  <si>
    <t>filtrollamadas.cl para web y emails</t>
  </si>
  <si>
    <t>$10 USD/año = $0.83/mes</t>
  </si>
  <si>
    <t>—</t>
  </si>
  <si>
    <t>https://nic.cl</t>
  </si>
  <si>
    <t>Google Workspace</t>
  </si>
  <si>
    <t>Email corporativo</t>
  </si>
  <si>
    <t>soporte@filtrollamadas.cl</t>
  </si>
  <si>
    <t>Suscripción</t>
  </si>
  <si>
    <t>$7/mes Business Starter 1 usuario</t>
  </si>
  <si>
    <t>https://workspace.google.com</t>
  </si>
  <si>
    <t>Opcional</t>
  </si>
  <si>
    <t>SPA (Sociedad)</t>
  </si>
  <si>
    <t>Legal</t>
  </si>
  <si>
    <t>RUT empresa, facturación, cta bancaria</t>
  </si>
  <si>
    <t>Único</t>
  </si>
  <si>
    <t>$0 online en registrodeempresas.cl</t>
  </si>
  <si>
    <t>https://registrodeempresas.cl</t>
  </si>
  <si>
    <t>Contador</t>
  </si>
  <si>
    <t>Contabilidad</t>
  </si>
  <si>
    <t>IVA, renta, boletas</t>
  </si>
  <si>
    <t>Mensual</t>
  </si>
  <si>
    <t>$20-40 USD/mes freelance Chile</t>
  </si>
  <si>
    <t>CRECIMIENTO DE BASE DE DATOS</t>
  </si>
  <si>
    <t>TAMAÑO POR REGISTRO</t>
  </si>
  <si>
    <t>Tabla</t>
  </si>
  <si>
    <t>Campos principales</t>
  </si>
  <si>
    <t>Bytes/registro</t>
  </si>
  <si>
    <t>Registros/usuario/mes</t>
  </si>
  <si>
    <t>MB/usuario/mes</t>
  </si>
  <si>
    <t>Notas</t>
  </si>
  <si>
    <t>usuarios</t>
  </si>
  <si>
    <t>uid, nombre, email, config, tokens JSON</t>
  </si>
  <si>
    <t>Solo 1 registro por usuario</t>
  </si>
  <si>
    <t>llamadas</t>
  </si>
  <si>
    <t>call_sid, transcripcion, resumen, etc</t>
  </si>
  <si>
    <t>15 llamadas/mes promedio</t>
  </si>
  <si>
    <t>suscripciones</t>
  </si>
  <si>
    <t>plan, pago, estado, fechas</t>
  </si>
  <si>
    <t>1 registro por periodo</t>
  </si>
  <si>
    <t>numeros_bloqueados</t>
  </si>
  <si>
    <t>numero, razon</t>
  </si>
  <si>
    <t>~2 bloqueados acumulado</t>
  </si>
  <si>
    <t>audio (disco)</t>
  </si>
  <si>
    <t>MP3 saludos + TTS cache</t>
  </si>
  <si>
    <t>~300KB promedio, no en DB</t>
  </si>
  <si>
    <t>TOTAL por usuario/mes</t>
  </si>
  <si>
    <t>MB en PostgreSQL + disco</t>
  </si>
  <si>
    <t>PROYECCIÓN ALMACENAMIENTO 12 MESES</t>
  </si>
  <si>
    <t>MB/usuario/mes (DB+disco)</t>
  </si>
  <si>
    <t>Railway Hobby incluye</t>
  </si>
  <si>
    <t>1 GB PostgreSQL + 1 GB disco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</si>
  <si>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</si>
  <si>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</si>
  <si>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</si>
  <si>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</si>
  <si>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</si>
  <si>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</si>
  <si>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</si>
  <si>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</si>
  <si>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</si>
  <si>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</si>
  <si>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</si>
  <si>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</si>
  <si>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 Usuarios</t>
  </si>
  <si>
    <t>DB acumulada (MB)</t>
  </si>
  <si>
    <t>% de 1 GB usado</t>
  </si>
  <si>
    <t>¿Necesita upgrade?</t>
  </si>
  <si>
    <t>PLANES RAILWAY</t>
  </si>
  <si>
    <t>Plan</t>
  </si>
  <si>
    <t>Precio</t>
  </si>
  <si>
    <t>PostgreSQL</t>
  </si>
  <si>
    <t>Usuarios aprox</t>
  </si>
  <si>
    <t>Hobby</t>
  </si>
  <si>
    <t>$5/mes</t>
  </si>
  <si>
    <t>1 GB</t>
  </si>
  <si>
    <t>~200-400</t>
  </si>
  <si>
    <t>Pro</t>
  </si>
  <si>
    <t>$20/mes</t>
  </si>
  <si>
    <t>10 GB</t>
  </si>
  <si>
    <t>~2,000-5,000</t>
  </si>
  <si>
    <t>Enterprise</t>
  </si>
  <si>
    <t>Custom</t>
  </si>
  <si>
    <t>Ilimitado</t>
  </si>
  <si>
    <t>5,000+</t>
  </si>
  <si>
    <t>ESTRATEGIAS DE CONTROL</t>
  </si>
  <si>
    <t>1. Limpiar audio_cache cada 7 días</t>
  </si>
  <si>
    <t>2. Archivar llamadas &gt; 90 días</t>
  </si>
  <si>
    <t>3. Upgrade Railway a Pro cuando DB &gt; 700MB</t>
  </si>
  <si>
    <t>4. Limitar audio saludo a 30 seg (~250KB)</t>
  </si>
  <si>
    <t>COSTOS OPERACIONALES COMPLETOS</t>
  </si>
  <si>
    <t>COSTOS ÚNICOS (Pre-lanzamiento)</t>
  </si>
  <si>
    <t>Concepto</t>
  </si>
  <si>
    <t>USD</t>
  </si>
  <si>
    <t>CLP (aprox)</t>
  </si>
  <si>
    <t>SPA Registro de Empresas</t>
  </si>
  <si>
    <t>Gratis online</t>
  </si>
  <si>
    <t>Apple Developer Program</t>
  </si>
  <si>
    <t>$99 USD/año</t>
  </si>
  <si>
    <t>Dominio filtrollamadas.cl</t>
  </si>
  <si>
    <t>$10 USD/año NIC Chile</t>
  </si>
  <si>
    <t>Notaría/poderes</t>
  </si>
  <si>
    <t>Estimado</t>
  </si>
  <si>
    <t>Cuenta bancaria empresa</t>
  </si>
  <si>
    <t>Registro MercadoPago</t>
  </si>
  <si>
    <t>TOTAL PRE-LANZAMIENTO</t>
  </si>
  <si>
    <t>COSTOS FIJOS MENSUALES</t>
  </si>
  <si>
    <t>USD/mes</t>
  </si>
  <si>
    <t>CLP/mes</t>
  </si>
  <si>
    <t>Railway Hobby (hosting + DB)</t>
  </si>
  <si>
    <t>Incluye 1GB PostgreSQL</t>
  </si>
  <si>
    <t>ElevenLabs Starter</t>
  </si>
  <si>
    <t>30K chars/mes voces premium</t>
  </si>
  <si>
    <t>Apple Developer (÷12)</t>
  </si>
  <si>
    <t>$99/año prorrateado</t>
  </si>
  <si>
    <t>Contador freelance</t>
  </si>
  <si>
    <t>Dominio (÷12)</t>
  </si>
  <si>
    <t>$10/año prorrateado</t>
  </si>
  <si>
    <t>Twilio número</t>
  </si>
  <si>
    <t>$1.15/mes por número</t>
  </si>
  <si>
    <t>Google Workspace (OPCIONAL)</t>
  </si>
  <si>
    <t>TOTAL sin Google Workspace</t>
  </si>
  <si>
    <t>TOTAL con Google Workspace</t>
  </si>
  <si>
    <t>COMPARACIÓN PROCESADORES DE PAGO</t>
  </si>
  <si>
    <t>Canal</t>
  </si>
  <si>
    <t>Neto de $4.99</t>
  </si>
  <si>
    <t>Neto de $12.99</t>
  </si>
  <si>
    <t>MercadoPago (web)</t>
  </si>
  <si>
    <t>~4.16%</t>
  </si>
  <si>
    <t>Apple IAP 15%</t>
  </si>
  <si>
    <t>15%</t>
  </si>
  <si>
    <t>Apple IAP 30%</t>
  </si>
  <si>
    <t>30%</t>
  </si>
  <si>
    <t>Google Play 15%</t>
  </si>
  <si>
    <t>Stripe (web)</t>
  </si>
  <si>
    <t>3.25%</t>
  </si>
  <si>
    <t>ROADMAP RECOMENDADO</t>
  </si>
  <si>
    <t>Etapa</t>
  </si>
  <si>
    <t>Acción</t>
  </si>
  <si>
    <t>Costo</t>
  </si>
  <si>
    <t>Ahora (0 usuarios)</t>
  </si>
  <si>
    <t>Correo personal, sin SPA. Solo desarrollar</t>
  </si>
  <si>
    <t>$0</t>
  </si>
  <si>
    <t>Primeros 10 pagando</t>
  </si>
  <si>
    <t>Crear SPA + MercadoPago empresa</t>
  </si>
  <si>
    <t>~$20 único</t>
  </si>
  <si>
    <t>50+ usuarios</t>
  </si>
  <si>
    <t>Dominio + Google Workspace</t>
  </si>
  <si>
    <t>~$18/mes</t>
  </si>
  <si>
    <t>100+ usuarios</t>
  </si>
  <si>
    <t>Apple Developer + App Store</t>
  </si>
  <si>
    <t>$99/año</t>
  </si>
  <si>
    <t>500+ usuarios</t>
  </si>
  <si>
    <t>Railway Pro ($20/mes)</t>
  </si>
  <si>
    <t>1000+ usuarios</t>
  </si>
  <si>
    <t>Migrar a AWS/GCP</t>
  </si>
  <si>
    <t>SUPUESTOS DEL MODELO</t>
  </si>
  <si>
    <t>Supuestos de Usuarios</t>
  </si>
  <si>
    <t>Usuarios Free</t>
  </si>
  <si>
    <t>Supuesto mes 1</t>
  </si>
  <si>
    <t>Usuarios Pro ($4.99/mes)</t>
  </si>
  <si>
    <t>Usuarios Premium ($12.99/mes)</t>
  </si>
  <si>
    <t>Crecimiento mensual usuarios</t>
  </si>
  <si>
    <t>15% mes a mes</t>
  </si>
  <si>
    <t>Conversión Free → Pro</t>
  </si>
  <si>
    <t>8% de free se convierten</t>
  </si>
  <si>
    <t>Conversión Pro → Premium</t>
  </si>
  <si>
    <t>5% de pro suben</t>
  </si>
  <si>
    <t>Churn mensual</t>
  </si>
  <si>
    <t>4% se van cada mes</t>
  </si>
  <si>
    <t>Supuestos de Uso por Usuario/Mes</t>
  </si>
  <si>
    <t>Llamadas promedio (Free)</t>
  </si>
  <si>
    <t>de 30 max</t>
  </si>
  <si>
    <t>Llamadas promedio (Pro)</t>
  </si>
  <si>
    <t>de 200 max</t>
  </si>
  <si>
    <t>Llamadas promedio (Premium)</t>
  </si>
  <si>
    <t>ilimitado</t>
  </si>
  <si>
    <t>Duración promedio llamada (min)</t>
  </si>
  <si>
    <t>Tokens input promedio/llamada</t>
  </si>
  <si>
    <t>prompt + conversación</t>
  </si>
  <si>
    <t>Tokens output promedio/llamada</t>
  </si>
  <si>
    <t>respuesta IA</t>
  </si>
  <si>
    <t>Chars TTS ElevenLabs/llamada</t>
  </si>
  <si>
    <t>solo Pro/Premium</t>
  </si>
  <si>
    <t>WhatsApp msgs/llamada</t>
  </si>
  <si>
    <t>alerta + resumen</t>
  </si>
  <si>
    <t>Costos Unitarios</t>
  </si>
  <si>
    <t>Twilio: voz recibir (USD/min)</t>
  </si>
  <si>
    <t>Source: twilio.com/voice/pricing</t>
  </si>
  <si>
    <t>Twilio: voz hacer (USD/min)</t>
  </si>
  <si>
    <t>Twilio: WhatsApp (USD/msg)</t>
  </si>
  <si>
    <t>Source: twilio.com/whatsapp/pricing</t>
  </si>
  <si>
    <t>Twilio: número teléfono (USD/mes)</t>
  </si>
  <si>
    <t>Source: twilio.com/pricing</t>
  </si>
  <si>
    <t>OpenAI: input (USD/1M tokens)</t>
  </si>
  <si>
    <t>Source: openai.com/api/pricing</t>
  </si>
  <si>
    <t>OpenAI: output (USD/1M tokens)</t>
  </si>
  <si>
    <t>ElevenLabs: suscripción (USD/mes)</t>
  </si>
  <si>
    <t>Starter plan</t>
  </si>
  <si>
    <t>Railway: hosting (USD/mes)</t>
  </si>
  <si>
    <t>Hobby plan</t>
  </si>
  <si>
    <t>Apple Developer (USD/mes)</t>
  </si>
  <si>
    <t>Apple comisión (%)</t>
  </si>
  <si>
    <t>Small Business Program</t>
  </si>
  <si>
    <t>PROYECCIÓN FINANCIERA 12 MESES</t>
  </si>
  <si>
    <t>TOTAL AÑO</t>
  </si>
  <si>
    <t>USUARIOS</t>
  </si>
  <si>
    <t>Usuarios Pro</t>
  </si>
  <si>
    <t>Usuarios Premium</t>
  </si>
  <si>
    <t>REVENUE (antes de Apple)</t>
  </si>
  <si>
    <t>Revenue Pro (bruto)</t>
  </si>
  <si>
    <t>Revenue Premium (bruto)</t>
  </si>
  <si>
    <t>Revenue Bruto Total</t>
  </si>
  <si>
    <t>Comisión Apple (15%)</t>
  </si>
  <si>
    <t>Revenue Neto</t>
  </si>
  <si>
    <t>COSTOS VARIABLES</t>
  </si>
  <si>
    <t>Twilio: Voz (llamadas)</t>
  </si>
  <si>
    <t>Twilio: WhatsApp</t>
  </si>
  <si>
    <t>Twilio: Números telefónicos</t>
  </si>
  <si>
    <t>OpenAI: GPT-4o-mini</t>
  </si>
  <si>
    <t>Total Costos Variables</t>
  </si>
  <si>
    <t>COSTOS FIJOS</t>
  </si>
  <si>
    <t>Railway Hosting</t>
  </si>
  <si>
    <t>Total Costos Fijos</t>
  </si>
  <si>
    <t>RESULTADO</t>
  </si>
  <si>
    <t>Costo Total</t>
  </si>
  <si>
    <t>UTILIDAD / PÉRDIDA</t>
  </si>
  <si>
    <t>Margen (%)</t>
  </si>
  <si>
    <t>ANÁLISIS BREAK-EVEN</t>
  </si>
  <si>
    <t>Costos fijos mensuales</t>
  </si>
  <si>
    <t>Usuarios Free mes 1</t>
  </si>
  <si>
    <t>Revenue promedio por usuario Pro</t>
  </si>
  <si>
    <t>Revenue promedio por usuario Premium</t>
  </si>
  <si>
    <t>Revenue neto por Pro (después Apple 15%)</t>
  </si>
  <si>
    <t>Revenue neto por Premium (después Apple 15%)</t>
  </si>
  <si>
    <t>Costo variable por llamada (estimado)</t>
  </si>
  <si>
    <t>Excluye ElevenLabs fijo</t>
  </si>
  <si>
    <t>BREAK-EVEN: Suscriptores Pro necesarios</t>
  </si>
  <si>
    <t>solo para cubrir costos fijos</t>
  </si>
  <si>
    <t>BREAK-EVEN: Suscriptores Premium necesarios</t>
  </si>
  <si>
    <t>ESCENARIO MERCADOPAGO (sin Apple)</t>
  </si>
  <si>
    <t>Costos fijos/mes (sin Apple Dev)</t>
  </si>
  <si>
    <t>Railway+ElevenLabs+Contador+Dominio+Twilio</t>
  </si>
  <si>
    <t>Neto Pro (MP ~4.16%)</t>
  </si>
  <si>
    <t>Neto Premium (MP ~4.16%)</t>
  </si>
  <si>
    <t>Break-even solo Pro</t>
  </si>
  <si>
    <t>suscriptores Pro</t>
  </si>
  <si>
    <t>Break-even solo Premium</t>
  </si>
  <si>
    <t>suscriptores Premium</t>
  </si>
  <si>
    <t>AHORRO MP vs Apple (por 50 Pro + 10 Premium, anual)</t>
  </si>
  <si>
    <t>Ahorro anual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</si>
</sst>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0.000"/>
    <numFmt numFmtId="166" formatCode="0.0"/>
    <numFmt numFmtId="167" formatCode="0.0%"/>
    <numFmt numFmtId="168" formatCode="\$#,##0"/>
    <numFmt numFmtId="169" formatCode="\$0.0000"/>
    <numFmt numFmtId="170" formatCode="\$0.00"/>
  </numFmts>
  <fonts count="2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2"/>
      <color rgb="FF000000"/>
      <name val="Arial"/>
      <charset val="1"/>
    </font>
    <font>
      <sz val="10"/>
      <name val="Cambria"/>
      <charset val="1"/>
    </font>
    <font>
      <sz val="10"/>
      <color rgb="FF0000FF"/>
      <name val="Cambria"/>
      <charset val="1"/>
    </font>
    <font>
      <b/>
      <sz val="14"/>
      <color rgb="FFFFFFFF"/>
      <name val="Cambria"/>
      <charset val="1"/>
    </font>
    <font>
      <b/>
      <sz val="12"/>
      <color rgb="FF4F46E5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0"/>
      <name val="Cambria"/>
      <charset val="1"/>
    </font>
    <font>
      <b/>
      <sz val="11"/>
      <color rgb="FF4F46E5"/>
      <name val="Cambria"/>
      <charset val="1"/>
    </font>
    <font>
      <sz val="10"/>
      <color rgb="FF374151"/>
      <name val="Cambria"/>
      <charset val="1"/>
    </font>
    <font>
      <b/>
      <sz val="11"/>
      <color rgb="FF0F0F23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sz val="11"/>
      <color rgb="FFFF0000"/>
      <name val="Arial"/>
      <charset val="1"/>
    </font>
    <font>
      <b/>
      <sz val="13"/>
      <color rgb="FF000000"/>
      <name val="Arial"/>
      <charset val="1"/>
    </font>
    <font>
      <b/>
      <sz val="13"/>
      <color rgb="FFFF0000"/>
      <name val="Arial"/>
      <charset val="1"/>
    </font>
    <font>
      <b/>
      <sz val="14"/>
      <color rgb="FFFF0000"/>
      <name val="Arial"/>
      <charset val="1"/>
    </font>
    <font>
      <b/>
      <sz val="11"/>
      <color rgb="FF22C55E"/>
      <name val="Cambria"/>
      <charset val="1"/>
    </font>
  </fonts>
  <fills count="15">
    <fill>
      <patternFill patternType="none"/>
    </fill>
    <fill>
      <patternFill patternType="gray125"/>
    </fill>
    <fill>
      <patternFill patternType="solid">
        <fgColor rgb="FF6C63FF"/>
        <bgColor rgb="FF4F46E5"/>
      </patternFill>
    </fill>
    <fill>
      <patternFill patternType="solid">
        <fgColor rgb="FFE8F5E9"/>
        <bgColor rgb="FFE3F2FD"/>
      </patternFill>
    </fill>
    <fill>
      <patternFill patternType="solid">
        <fgColor rgb="FFFFFDE7"/>
        <bgColor rgb="FFFFFFFF"/>
      </patternFill>
    </fill>
    <fill>
      <patternFill patternType="solid">
        <fgColor rgb="FFE0E7FF"/>
        <bgColor rgb="FFE3F2FD"/>
      </patternFill>
    </fill>
    <fill>
      <patternFill patternType="solid">
        <fgColor rgb="FFFEF3C7"/>
        <bgColor rgb="FFFEF9C3"/>
      </patternFill>
    </fill>
    <fill>
      <patternFill patternType="solid">
        <fgColor rgb="FFFEF9C3"/>
        <bgColor rgb="FFFEF3C7"/>
      </patternFill>
    </fill>
    <fill>
      <patternFill patternType="solid">
        <fgColor rgb="FF4F46E5"/>
        <bgColor rgb="FF6C63FF"/>
      </patternFill>
    </fill>
    <fill>
      <patternFill patternType="solid">
        <fgColor rgb="FF374151"/>
        <bgColor rgb="FF333333"/>
      </patternFill>
    </fill>
    <fill>
      <patternFill patternType="solid">
        <fgColor rgb="FF0F0F23"/>
        <bgColor rgb="FF000000"/>
      </patternFill>
    </fill>
    <fill>
      <patternFill patternType="solid">
        <fgColor rgb="FFEEEDFF"/>
        <bgColor rgb="FFE3F2FD"/>
      </patternFill>
    </fill>
    <fill>
      <patternFill patternType="solid">
        <fgColor rgb="FFFFFF00"/>
        <bgColor rgb="FFFFCC00"/>
      </patternFill>
    </fill>
    <fill>
      <patternFill patternType="solid">
        <fgColor rgb="FFE3F2FD"/>
        <bgColor rgb="FFEEEDFF"/>
      </patternFill>
    </fill>
    <fill>
      <patternFill patternType="solid">
        <fgColor rgb="FFFDE8E8"/>
        <bgColor rgb="FFEEED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333333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8" fillId="8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164" fontId="3" fillId="0" borderId="1" xfId="0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2" xfId="0" applyFont="1" applyBorder="1"/>
    <xf numFmtId="0" fontId="0" fillId="0" borderId="2" xfId="0" applyBorder="1"/>
    <xf numFmtId="164" fontId="5" fillId="0" borderId="2" xfId="0" applyNumberFormat="1" applyFont="1" applyBorder="1"/>
    <xf numFmtId="0" fontId="6" fillId="5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64" fontId="7" fillId="0" borderId="3" xfId="0" applyNumberFormat="1" applyFont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9" fillId="0" borderId="0" xfId="0" applyFont="1"/>
    <xf numFmtId="0" fontId="10" fillId="8" borderId="3" xfId="0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vertical="center" wrapText="1"/>
    </xf>
    <xf numFmtId="165" fontId="6" fillId="0" borderId="3" xfId="0" applyNumberFormat="1" applyFont="1" applyBorder="1" applyAlignment="1">
      <alignment vertical="center" wrapText="1"/>
    </xf>
    <xf numFmtId="0" fontId="11" fillId="0" borderId="0" xfId="0" applyFont="1"/>
    <xf numFmtId="165" fontId="11" fillId="0" borderId="0" xfId="0" applyNumberFormat="1" applyFont="1"/>
    <xf numFmtId="165" fontId="7" fillId="0" borderId="0" xfId="0" applyNumberFormat="1" applyFont="1"/>
    <xf numFmtId="0" fontId="10" fillId="8" borderId="3" xfId="0" applyFont="1" applyFill="1" applyBorder="1" applyAlignment="1">
      <alignment horizontal="center"/>
    </xf>
    <xf numFmtId="0" fontId="12" fillId="0" borderId="0" xfId="0" applyFont="1"/>
    <xf numFmtId="3" fontId="0" fillId="0" borderId="3" xfId="0" applyNumberFormat="1" applyBorder="1"/>
    <xf numFmtId="166" fontId="0" fillId="0" borderId="3" xfId="0" applyNumberFormat="1" applyBorder="1"/>
    <xf numFmtId="0" fontId="6" fillId="0" borderId="0" xfId="0" applyFont="1"/>
    <xf numFmtId="167" fontId="0" fillId="0" borderId="3" xfId="0" applyNumberFormat="1" applyBorder="1"/>
    <xf numFmtId="0" fontId="0" fillId="0" borderId="3" xfId="0" applyBorder="1" applyAlignment="1">
      <alignment horizontal="center"/>
    </xf>
    <xf numFmtId="0" fontId="13" fillId="0" borderId="0" xfId="0" applyFont="1"/>
    <xf numFmtId="0" fontId="10" fillId="9" borderId="3" xfId="0" applyFont="1" applyFill="1" applyBorder="1"/>
    <xf numFmtId="0" fontId="6" fillId="0" borderId="3" xfId="0" applyFont="1" applyBorder="1"/>
    <xf numFmtId="0" fontId="14" fillId="0" borderId="0" xfId="0" applyFont="1"/>
    <xf numFmtId="0" fontId="10" fillId="8" borderId="3" xfId="0" applyFont="1" applyFill="1" applyBorder="1"/>
    <xf numFmtId="168" fontId="7" fillId="0" borderId="3" xfId="0" applyNumberFormat="1" applyFont="1" applyBorder="1"/>
    <xf numFmtId="168" fontId="6" fillId="0" borderId="3" xfId="0" applyNumberFormat="1" applyFont="1" applyBorder="1"/>
    <xf numFmtId="168" fontId="11" fillId="0" borderId="0" xfId="0" applyNumberFormat="1" applyFont="1"/>
    <xf numFmtId="164" fontId="7" fillId="0" borderId="3" xfId="0" applyNumberFormat="1" applyFont="1" applyBorder="1"/>
    <xf numFmtId="164" fontId="11" fillId="0" borderId="0" xfId="0" applyNumberFormat="1" applyFont="1"/>
    <xf numFmtId="164" fontId="6" fillId="0" borderId="3" xfId="0" applyNumberFormat="1" applyFont="1" applyBorder="1"/>
    <xf numFmtId="0" fontId="1" fillId="10" borderId="0" xfId="0" applyFont="1" applyFill="1"/>
    <xf numFmtId="0" fontId="0" fillId="10" borderId="0" xfId="0" applyFill="1"/>
    <xf numFmtId="0" fontId="15" fillId="11" borderId="0" xfId="0" applyFont="1" applyFill="1"/>
    <xf numFmtId="0" fontId="2" fillId="0" borderId="0" xfId="0" applyFont="1"/>
    <xf numFmtId="3" fontId="3" fillId="0" borderId="0" xfId="0" applyNumberFormat="1" applyFont="1"/>
    <xf numFmtId="0" fontId="16" fillId="0" borderId="0" xfId="0" applyFont="1"/>
    <xf numFmtId="167" fontId="3" fillId="12" borderId="0" xfId="0" applyNumberFormat="1" applyFont="1" applyFill="1"/>
    <xf numFmtId="0" fontId="15" fillId="13" borderId="0" xfId="0" applyFont="1" applyFill="1"/>
    <xf numFmtId="3" fontId="3" fillId="12" borderId="0" xfId="0" applyNumberFormat="1" applyFont="1" applyFill="1"/>
    <xf numFmtId="166" fontId="3" fillId="12" borderId="0" xfId="0" applyNumberFormat="1" applyFont="1" applyFill="1"/>
    <xf numFmtId="0" fontId="15" fillId="14" borderId="0" xfId="0" applyFont="1" applyFill="1"/>
    <xf numFmtId="169" fontId="3" fillId="0" borderId="0" xfId="0" applyNumberFormat="1" applyFont="1"/>
    <xf numFmtId="164" fontId="3" fillId="0" borderId="0" xfId="0" applyNumberFormat="1" applyFont="1"/>
    <xf numFmtId="170" fontId="3" fillId="0" borderId="0" xfId="0" applyNumberFormat="1" applyFont="1"/>
    <xf numFmtId="167" fontId="3" fillId="0" borderId="0" xfId="0" applyNumberFormat="1" applyFont="1"/>
    <xf numFmtId="0" fontId="4" fillId="0" borderId="0" xfId="0" applyFont="1"/>
    <xf numFmtId="0" fontId="17" fillId="2" borderId="0" xfId="0" applyFont="1" applyFill="1" applyAlignment="1">
      <alignment horizontal="center"/>
    </xf>
    <xf numFmtId="0" fontId="17" fillId="10" borderId="0" xfId="0" applyFont="1" applyFill="1" applyAlignment="1">
      <alignment horizontal="center"/>
    </xf>
    <xf numFmtId="3" fontId="18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15" fillId="3" borderId="0" xfId="0" applyFont="1" applyFill="1"/>
    <xf numFmtId="164" fontId="2" fillId="0" borderId="0" xfId="0" applyNumberFormat="1" applyFont="1"/>
    <xf numFmtId="164" fontId="4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64" fontId="0" fillId="0" borderId="0" xfId="0" applyNumberFormat="1"/>
    <xf numFmtId="164" fontId="18" fillId="0" borderId="0" xfId="0" applyNumberFormat="1" applyFont="1"/>
    <xf numFmtId="0" fontId="20" fillId="0" borderId="0" xfId="0" applyFont="1"/>
    <xf numFmtId="164" fontId="20" fillId="0" borderId="0" xfId="0" applyNumberFormat="1" applyFont="1"/>
    <xf numFmtId="167" fontId="4" fillId="0" borderId="0" xfId="0" applyNumberFormat="1" applyFont="1"/>
    <xf numFmtId="167" fontId="0" fillId="0" borderId="0" xfId="0" applyNumberFormat="1"/>
    <xf numFmtId="169" fontId="2" fillId="0" borderId="0" xfId="0" applyNumberFormat="1" applyFont="1"/>
    <xf numFmtId="0" fontId="21" fillId="4" borderId="0" xfId="0" applyFont="1" applyFill="1"/>
    <xf numFmtId="3" fontId="22" fillId="4" borderId="0" xfId="0" applyNumberFormat="1" applyFont="1" applyFill="1"/>
    <xf numFmtId="164" fontId="7" fillId="0" borderId="0" xfId="0" applyNumberFormat="1" applyFont="1"/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E676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6C63FF"/>
      <rgbColor rgb="FF993366"/>
      <rgbColor rgb="FFFEF9C3"/>
      <rgbColor rgb="FFE3F2FD"/>
      <rgbColor rgb="FF660066"/>
      <rgbColor rgb="FFFF8080"/>
      <rgbColor rgb="FF0066CC"/>
      <rgbColor rgb="FFD1D5DB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E8F5E9"/>
      <rgbColor rgb="FFE0E7FF"/>
      <rgbColor rgb="FFFEF3C7"/>
      <rgbColor rgb="FFEEEDFF"/>
      <rgbColor rgb="FFFF99CC"/>
      <rgbColor rgb="FFCC99FF"/>
      <rgbColor rgb="FFFDE8E8"/>
      <rgbColor rgb="FF4F46E5"/>
      <rgbColor rgb="FF33CCCC"/>
      <rgbColor rgb="FF99CC00"/>
      <rgbColor rgb="FFFFCC00"/>
      <rgbColor rgb="FFFF9100"/>
      <rgbColor rgb="FFFF5252"/>
      <rgbColor rgb="FF666666"/>
      <rgbColor rgb="FF969696"/>
      <rgbColor rgb="FF003366"/>
      <rgbColor rgb="FF22C55E"/>
      <rgbColor rgb="FF0F0F23"/>
      <rgbColor rgb="FF333300"/>
      <rgbColor rgb="FF993300"/>
      <rgbColor rgb="FF993366"/>
      <rgbColor rgb="FF3741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C63FF"/>
  </sheetPr>
  <dimension ref="A1:I18"/>
  <sheetViews>
    <sheetView zoomScaleNormal="100" workbookViewId="0"/>
  </sheetViews>
  <sheetFormatPr baseColWidth="10" defaultColWidth="8.6640625" defaultRowHeight="15" customHeight="1" x14ac:dyDescent="0.3"/>
  <cols>
    <col min="1" max="1" width="22" customWidth="1"/>
    <col min="2" max="2" width="20" customWidth="1"/>
    <col min="3" max="3" width="42" customWidth="1"/>
    <col min="4" max="5" width="18" customWidth="1"/>
    <col min="6" max="7" width="45" customWidth="1"/>
    <col min="8" max="8" width="38" customWidth="1"/>
    <col min="9" max="9" width="12" customWidth="1"/>
  </cols>
  <sheetData>
    <row r="1" spans="1:9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4">
        <v>0</v>
      </c>
      <c r="F2" s="3" t="s">
        <v>13</v>
      </c>
      <c r="G2" s="3" t="s">
        <v>14</v>
      </c>
      <c r="H2" s="3" t="s">
        <v>15</v>
      </c>
      <c r="I2" s="5" t="s">
        <v>16</v>
      </c>
    </row>
    <row r="3" spans="1:9" ht="15" customHeight="1" x14ac:dyDescent="0.3">
      <c r="A3" s="3" t="s">
        <v>17</v>
      </c>
      <c r="B3" s="3" t="s">
        <v>18</v>
      </c>
      <c r="C3" s="3" t="s">
        <v>19</v>
      </c>
      <c r="D3" s="3" t="s">
        <v>20</v>
      </c>
      <c r="E3" s="4">
        <v>0</v>
      </c>
      <c r="F3" s="3" t="s">
        <v>21</v>
      </c>
      <c r="G3" s="3" t="s">
        <v>22</v>
      </c>
      <c r="H3" s="3" t="s">
        <v>23</v>
      </c>
      <c r="I3" s="5" t="s">
        <v>16</v>
      </c>
    </row>
    <row r="4" spans="1:9" ht="15" customHeight="1" x14ac:dyDescent="0.3">
      <c r="A4" s="3" t="s">
        <v>24</v>
      </c>
      <c r="B4" s="3" t="s">
        <v>25</v>
      </c>
      <c r="C4" s="3" t="s">
        <v>26</v>
      </c>
      <c r="D4" s="3" t="s">
        <v>27</v>
      </c>
      <c r="E4" s="4">
        <v>5</v>
      </c>
      <c r="F4" s="3" t="s">
        <v>28</v>
      </c>
      <c r="G4" s="3" t="s">
        <v>29</v>
      </c>
      <c r="H4" s="3" t="s">
        <v>30</v>
      </c>
      <c r="I4" s="5" t="s">
        <v>16</v>
      </c>
    </row>
    <row r="5" spans="1:9" ht="15" customHeight="1" x14ac:dyDescent="0.3">
      <c r="A5" s="3" t="s">
        <v>31</v>
      </c>
      <c r="B5" s="3" t="s">
        <v>32</v>
      </c>
      <c r="C5" s="3" t="s">
        <v>33</v>
      </c>
      <c r="D5" s="3" t="s">
        <v>27</v>
      </c>
      <c r="E5" s="4">
        <v>5</v>
      </c>
      <c r="F5" s="3" t="s">
        <v>34</v>
      </c>
      <c r="G5" s="3" t="s">
        <v>35</v>
      </c>
      <c r="H5" s="3" t="s">
        <v>36</v>
      </c>
      <c r="I5" s="5" t="s">
        <v>16</v>
      </c>
    </row>
    <row r="6" spans="1:9" ht="15" customHeight="1" x14ac:dyDescent="0.3">
      <c r="A6" s="3" t="s">
        <v>37</v>
      </c>
      <c r="B6" s="3" t="s">
        <v>38</v>
      </c>
      <c r="C6" s="3" t="s">
        <v>39</v>
      </c>
      <c r="D6" s="3" t="s">
        <v>40</v>
      </c>
      <c r="E6" s="4">
        <v>0</v>
      </c>
      <c r="F6" s="3" t="s">
        <v>41</v>
      </c>
      <c r="G6" s="3" t="s">
        <v>42</v>
      </c>
      <c r="H6" s="3" t="s">
        <v>36</v>
      </c>
      <c r="I6" s="5" t="s">
        <v>16</v>
      </c>
    </row>
    <row r="7" spans="1:9" ht="15" customHeight="1" x14ac:dyDescent="0.3">
      <c r="A7" s="3" t="s">
        <v>43</v>
      </c>
      <c r="B7" s="3" t="s">
        <v>44</v>
      </c>
      <c r="C7" s="3" t="s">
        <v>45</v>
      </c>
      <c r="D7" s="3" t="s">
        <v>46</v>
      </c>
      <c r="E7" s="4">
        <v>0</v>
      </c>
      <c r="F7" s="3" t="s">
        <v>47</v>
      </c>
      <c r="G7" s="3" t="s">
        <v>48</v>
      </c>
      <c r="H7" s="3" t="s">
        <v>49</v>
      </c>
      <c r="I7" s="5" t="s">
        <v>16</v>
      </c>
    </row>
    <row r="8" spans="1:9" ht="15" customHeight="1" x14ac:dyDescent="0.3">
      <c r="A8" s="3" t="s">
        <v>50</v>
      </c>
      <c r="B8" s="3" t="s">
        <v>44</v>
      </c>
      <c r="C8" s="3" t="s">
        <v>51</v>
      </c>
      <c r="D8" s="3" t="s">
        <v>46</v>
      </c>
      <c r="E8" s="4">
        <v>0</v>
      </c>
      <c r="F8" s="3" t="s">
        <v>52</v>
      </c>
      <c r="G8" s="3" t="s">
        <v>53</v>
      </c>
      <c r="H8" s="3" t="s">
        <v>54</v>
      </c>
      <c r="I8" s="6" t="s">
        <v>55</v>
      </c>
    </row>
    <row r="9" spans="1:9" ht="15" customHeight="1" x14ac:dyDescent="0.3">
      <c r="A9" s="3" t="s">
        <v>56</v>
      </c>
      <c r="B9" s="3" t="s">
        <v>57</v>
      </c>
      <c r="C9" s="3" t="s">
        <v>58</v>
      </c>
      <c r="D9" s="3" t="s">
        <v>59</v>
      </c>
      <c r="E9" s="4">
        <v>8.25</v>
      </c>
      <c r="F9" s="3" t="s">
        <v>60</v>
      </c>
      <c r="G9" s="3" t="s">
        <v>61</v>
      </c>
      <c r="H9" s="3" t="s">
        <v>62</v>
      </c>
      <c r="I9" s="6" t="s">
        <v>55</v>
      </c>
    </row>
    <row r="10" spans="1:9" ht="15" customHeight="1" x14ac:dyDescent="0.3">
      <c r="A10" s="3" t="s">
        <v>63</v>
      </c>
      <c r="B10" s="3" t="s">
        <v>64</v>
      </c>
      <c r="C10" s="3" t="s">
        <v>65</v>
      </c>
      <c r="D10" s="3" t="s">
        <v>66</v>
      </c>
      <c r="E10" s="4">
        <v>0</v>
      </c>
      <c r="F10" s="3" t="s">
        <v>67</v>
      </c>
      <c r="G10" s="3" t="s">
        <v>68</v>
      </c>
      <c r="H10" s="3" t="s">
        <v>69</v>
      </c>
      <c r="I10" s="6" t="s">
        <v>55</v>
      </c>
    </row>
    <row r="11" spans="1:9" ht="15" customHeight="1" x14ac:dyDescent="0.3">
      <c r="A11" s="3" t="s">
        <v>70</v>
      </c>
      <c r="B11" s="3" t="s">
        <v>71</v>
      </c>
      <c r="C11" s="3" t="s">
        <v>72</v>
      </c>
      <c r="D11" s="3" t="s">
        <v>46</v>
      </c>
      <c r="E11" s="4">
        <v>0</v>
      </c>
      <c r="F11" s="3" t="s">
        <v>73</v>
      </c>
      <c r="G11" s="3" t="s">
        <v>68</v>
      </c>
      <c r="H11" s="3" t="s">
        <v>74</v>
      </c>
      <c r="I11" s="5" t="s">
        <v>16</v>
      </c>
    </row>
    <row r="12" spans="1:9" ht="15" customHeight="1" x14ac:dyDescent="0.3">
      <c r="A12" s="3" t="s">
        <v>75</v>
      </c>
      <c r="B12" s="3" t="s">
        <v>76</v>
      </c>
      <c r="C12" s="3" t="s">
        <v>77</v>
      </c>
      <c r="D12" s="3" t="s">
        <v>78</v>
      </c>
      <c r="E12" s="4">
        <v>0</v>
      </c>
      <c r="F12" s="3" t="s">
        <v>79</v>
      </c>
      <c r="G12" s="3" t="s">
        <v>68</v>
      </c>
      <c r="H12" s="3" t="s">
        <v>80</v>
      </c>
      <c r="I12" s="6" t="s">
        <v>55</v>
      </c>
    </row>
    <row r="13" spans="1:9" ht="15" customHeight="1" x14ac:dyDescent="0.3">
      <c r="A13" s="7" t="s">
        <v>81</v>
      </c>
      <c r="B13" s="8"/>
      <c r="C13" s="8"/>
      <c r="D13" s="8"/>
      <c r="E13" s="9">
        <f>SUM(E2:E12)</f>
        <v>18.25</v>
      </c>
      <c r="F13" s="8"/>
      <c r="G13" s="8"/>
      <c r="H13" s="8"/>
      <c r="I13" s="8"/>
    </row>
    <row r="14" spans="1:9" ht="14.4" x14ac:dyDescent="0.3">
      <c r="A14" s="10" t="s">
        <v>82</v>
      </c>
      <c r="B14" s="11" t="s">
        <v>83</v>
      </c>
      <c r="C14" s="11" t="s">
        <v>84</v>
      </c>
      <c r="D14" s="11" t="s">
        <v>85</v>
      </c>
      <c r="E14" s="12">
        <v>0</v>
      </c>
      <c r="F14" s="11" t="s">
        <v>86</v>
      </c>
      <c r="G14" s="11" t="s">
        <v>87</v>
      </c>
      <c r="H14" s="11" t="s">
        <v>88</v>
      </c>
      <c r="I14" s="13" t="s">
        <v>55</v>
      </c>
    </row>
    <row r="15" spans="1:9" ht="14.4" x14ac:dyDescent="0.3">
      <c r="A15" s="10" t="s">
        <v>89</v>
      </c>
      <c r="B15" s="11" t="s">
        <v>90</v>
      </c>
      <c r="C15" s="11" t="s">
        <v>91</v>
      </c>
      <c r="D15" s="11" t="s">
        <v>59</v>
      </c>
      <c r="E15" s="12">
        <v>0.83</v>
      </c>
      <c r="F15" s="11" t="s">
        <v>92</v>
      </c>
      <c r="G15" s="11" t="s">
        <v>93</v>
      </c>
      <c r="H15" s="11" t="s">
        <v>94</v>
      </c>
      <c r="I15" s="13" t="s">
        <v>55</v>
      </c>
    </row>
    <row r="16" spans="1:9" ht="14.4" x14ac:dyDescent="0.3">
      <c r="A16" s="10" t="s">
        <v>95</v>
      </c>
      <c r="B16" s="11" t="s">
        <v>96</v>
      </c>
      <c r="C16" s="11" t="s">
        <v>97</v>
      </c>
      <c r="D16" s="11" t="s">
        <v>98</v>
      </c>
      <c r="E16" s="12">
        <v>7</v>
      </c>
      <c r="F16" s="11" t="s">
        <v>99</v>
      </c>
      <c r="G16" s="11" t="s">
        <v>93</v>
      </c>
      <c r="H16" s="11" t="s">
        <v>100</v>
      </c>
      <c r="I16" s="14" t="s">
        <v>101</v>
      </c>
    </row>
    <row r="17" spans="1:9" ht="14.4" x14ac:dyDescent="0.3">
      <c r="A17" s="10" t="s">
        <v>102</v>
      </c>
      <c r="B17" s="11" t="s">
        <v>103</v>
      </c>
      <c r="C17" s="11" t="s">
        <v>104</v>
      </c>
      <c r="D17" s="11" t="s">
        <v>105</v>
      </c>
      <c r="E17" s="12">
        <v>0</v>
      </c>
      <c r="F17" s="11" t="s">
        <v>106</v>
      </c>
      <c r="G17" s="11" t="s">
        <v>93</v>
      </c>
      <c r="H17" s="11" t="s">
        <v>107</v>
      </c>
      <c r="I17" s="13" t="s">
        <v>55</v>
      </c>
    </row>
    <row r="18" spans="1:9" ht="14.4" x14ac:dyDescent="0.3">
      <c r="A18" s="10" t="s">
        <v>108</v>
      </c>
      <c r="B18" s="11" t="s">
        <v>109</v>
      </c>
      <c r="C18" s="11" t="s">
        <v>110</v>
      </c>
      <c r="D18" s="11" t="s">
        <v>111</v>
      </c>
      <c r="E18" s="12">
        <v>30</v>
      </c>
      <c r="F18" s="11" t="s">
        <v>112</v>
      </c>
      <c r="G18" s="11" t="s">
        <v>93</v>
      </c>
      <c r="H18" s="11" t="s">
        <v>93</v>
      </c>
      <c r="I18" s="13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A9" zoomScaleNormal="100" workbookViewId="0">
      <selection activeCell="A32" sqref="A32"/>
    </sheetView>
  </sheetViews>
  <sheetFormatPr baseColWidth="10" defaultColWidth="8.6640625" defaultRowHeight="15" customHeight="1" x14ac:dyDescent="0.3"/>
  <cols>
    <col min="1" max="1" width="35" customWidth="1"/>
    <col min="2" max="13" width="14" customWidth="1"/>
  </cols>
  <sheetData>
    <row r="1" spans="1:13" ht="17.399999999999999" x14ac:dyDescent="0.3">
      <c r="A1" s="1" t="s">
        <v>113</v>
      </c>
      <c r="B1" s="1"/>
      <c r="C1" s="1"/>
      <c r="D1" s="1"/>
      <c r="E1" s="1"/>
      <c r="F1" s="1"/>
    </row>
    <row r="3" spans="1:13" ht="15.6" x14ac:dyDescent="0.3">
      <c r="A3" s="15" t="s">
        <v>114</v>
      </c>
    </row>
    <row r="4" spans="1:13" ht="28.2" x14ac:dyDescent="0.3">
      <c r="A4" s="16" t="s">
        <v>115</v>
      </c>
      <c r="B4" s="16" t="s">
        <v>116</v>
      </c>
      <c r="C4" s="16" t="s">
        <v>117</v>
      </c>
      <c r="D4" s="16" t="s">
        <v>118</v>
      </c>
      <c r="E4" s="16" t="s">
        <v>119</v>
      </c>
      <c r="F4" s="16" t="s">
        <v>120</v>
      </c>
    </row>
    <row r="5" spans="1:13" ht="39.6" x14ac:dyDescent="0.3">
      <c r="A5" s="11" t="s">
        <v>121</v>
      </c>
      <c r="B5" s="11" t="s">
        <v>122</v>
      </c>
      <c r="C5" s="17">
        <v>2048</v>
      </c>
      <c r="D5" s="11">
        <v>0</v>
      </c>
      <c r="E5" s="18">
        <f>IF(D5&gt;0,C5*D5/1048576,0)</f>
        <v>0</v>
      </c>
      <c r="F5" s="11" t="s">
        <v>123</v>
      </c>
    </row>
    <row r="6" spans="1:13" ht="39.6" x14ac:dyDescent="0.3">
      <c r="A6" s="11" t="s">
        <v>124</v>
      </c>
      <c r="B6" s="11" t="s">
        <v>125</v>
      </c>
      <c r="C6" s="17">
        <v>4096</v>
      </c>
      <c r="D6" s="11">
        <v>15</v>
      </c>
      <c r="E6" s="18">
        <f>IF(D6&gt;0,C6*D6/1048576,0)</f>
        <v>5.859375E-2</v>
      </c>
      <c r="F6" s="11" t="s">
        <v>126</v>
      </c>
    </row>
    <row r="7" spans="1:13" ht="26.4" x14ac:dyDescent="0.3">
      <c r="A7" s="11" t="s">
        <v>127</v>
      </c>
      <c r="B7" s="11" t="s">
        <v>128</v>
      </c>
      <c r="C7" s="17">
        <v>512</v>
      </c>
      <c r="D7" s="11">
        <v>1</v>
      </c>
      <c r="E7" s="18">
        <f>IF(D7&gt;0,C7*D7/1048576,0)</f>
        <v>4.8828125E-4</v>
      </c>
      <c r="F7" s="11" t="s">
        <v>129</v>
      </c>
    </row>
    <row r="8" spans="1:13" ht="26.4" x14ac:dyDescent="0.3">
      <c r="A8" s="11" t="s">
        <v>130</v>
      </c>
      <c r="B8" s="11" t="s">
        <v>131</v>
      </c>
      <c r="C8" s="17">
        <v>128</v>
      </c>
      <c r="D8" s="11">
        <v>2</v>
      </c>
      <c r="E8" s="18">
        <f>IF(D8&gt;0,C8*D8/1048576,0)</f>
        <v>2.44140625E-4</v>
      </c>
      <c r="F8" s="11" t="s">
        <v>132</v>
      </c>
    </row>
    <row r="9" spans="1:13" ht="39.6" x14ac:dyDescent="0.3">
      <c r="A9" s="11" t="s">
        <v>133</v>
      </c>
      <c r="B9" s="11" t="s">
        <v>134</v>
      </c>
      <c r="C9" s="17">
        <v>300000</v>
      </c>
      <c r="D9" s="11">
        <v>1</v>
      </c>
      <c r="E9" s="18">
        <f>IF(D9&gt;0,C9*D9/1048576,0)</f>
        <v>0.286102294921875</v>
      </c>
      <c r="F9" s="11" t="s">
        <v>135</v>
      </c>
    </row>
    <row r="10" spans="1:13" ht="14.4" x14ac:dyDescent="0.3">
      <c r="A10" s="19" t="s">
        <v>136</v>
      </c>
      <c r="E10" s="20">
        <f>SUM(E5:E9)</f>
        <v>0.345428466796875</v>
      </c>
      <c r="F10" t="s">
        <v>137</v>
      </c>
    </row>
    <row r="12" spans="1:13" ht="15.6" x14ac:dyDescent="0.3">
      <c r="A12" s="15" t="s">
        <v>138</v>
      </c>
    </row>
    <row r="13" spans="1:13" ht="14.4" x14ac:dyDescent="0.3">
      <c r="A13" t="s">
        <v>139</v>
      </c>
      <c r="B13" s="21">
        <f>E10</f>
        <v>0.345428466796875</v>
      </c>
    </row>
    <row r="14" spans="1:13" ht="14.4" x14ac:dyDescent="0.3">
      <c r="A14" t="s">
        <v>140</v>
      </c>
      <c r="B14" t="s">
        <v>141</v>
      </c>
    </row>
    <row r="16" spans="1:13" ht="14.4" x14ac:dyDescent="0.3">
      <c r="A16" s="22"/>
      <c r="B16" s="22" t="s">
        <v>142</v>
      </c>
      <c r="C16" s="22" t="s">
        <v>143</v>
      </c>
      <c r="D16" s="22" t="s">
        <v>144</v>
      </c>
      <c r="E16" s="22" t="s">
        <v>145</v>
      </c>
      <c r="F16" s="22" t="s">
        <v>146</v>
      </c>
      <c r="G16" s="22" t="s">
        <v>147</v>
      </c>
      <c r="H16" s="22" t="s">
        <v>148</v>
      </c>
      <c r="I16" s="22" t="s">
        <v>149</v>
      </c>
      <c r="J16" s="22" t="s">
        <v>150</v>
      </c>
      <c r="K16" s="22" t="s">
        <v>151</v>
      </c>
      <c r="L16" s="22" t="s">
        <v>152</v>
      </c>
      <c r="M16" s="22" t="s">
        <v>153</v>
      </c>
    </row>
    <row r="17" spans="1:13" ht="14.4" x14ac:dyDescent="0.3">
      <c r="A17" s="23" t="s">
        <v>154</v>
      </c>
      <c r="B17" s="24">
        <f>'Proyección 12 Meses'!B7</f>
        <v>112</v>
      </c>
      <c r="C17" s="24">
        <f>'Proyección 12 Meses'!C7</f>
        <v>122</v>
      </c>
      <c r="D17" s="24">
        <f>'Proyección 12 Meses'!D7</f>
        <v>133</v>
      </c>
      <c r="E17" s="24">
        <f>'Proyección 12 Meses'!E7</f>
        <v>143</v>
      </c>
      <c r="F17" s="24">
        <f>'Proyección 12 Meses'!F7</f>
        <v>153</v>
      </c>
      <c r="G17" s="24">
        <f>'Proyección 12 Meses'!G7</f>
        <v>164</v>
      </c>
      <c r="H17" s="24">
        <f>'Proyección 12 Meses'!H7</f>
        <v>174</v>
      </c>
      <c r="I17" s="24">
        <f>'Proyección 12 Meses'!I7</f>
        <v>185</v>
      </c>
      <c r="J17" s="24">
        <f>'Proyección 12 Meses'!J7</f>
        <v>196</v>
      </c>
      <c r="K17" s="24">
        <f>'Proyección 12 Meses'!K7</f>
        <v>207</v>
      </c>
      <c r="L17" s="24">
        <f>'Proyección 12 Meses'!L7</f>
        <v>219</v>
      </c>
      <c r="M17" s="24">
        <f>'Proyección 12 Meses'!M7</f>
        <v>231</v>
      </c>
    </row>
    <row r="18" spans="1:13" ht="14.4" x14ac:dyDescent="0.3">
      <c r="A18" s="23" t="s">
        <v>155</v>
      </c>
      <c r="B18" s="25">
        <f>B17*$B$13</f>
        <v>38.68798828125</v>
      </c>
      <c r="C18" s="25">
        <f t="shared" ref="C18:M18" si="0">B18+C17*$B$13</f>
        <v>80.83026123046875</v>
      </c>
      <c r="D18" s="25">
        <f t="shared" si="0"/>
        <v>126.77224731445313</v>
      </c>
      <c r="E18" s="25">
        <f t="shared" si="0"/>
        <v>176.16851806640625</v>
      </c>
      <c r="F18" s="25">
        <f t="shared" si="0"/>
        <v>229.01907348632813</v>
      </c>
      <c r="G18" s="25">
        <f t="shared" si="0"/>
        <v>285.66934204101563</v>
      </c>
      <c r="H18" s="25">
        <f t="shared" si="0"/>
        <v>345.77389526367188</v>
      </c>
      <c r="I18" s="25">
        <f t="shared" si="0"/>
        <v>409.67816162109375</v>
      </c>
      <c r="J18" s="25">
        <f t="shared" si="0"/>
        <v>477.38214111328125</v>
      </c>
      <c r="K18" s="25">
        <f t="shared" si="0"/>
        <v>548.88583374023438</v>
      </c>
      <c r="L18" s="25">
        <f t="shared" si="0"/>
        <v>624.53466796875</v>
      </c>
      <c r="M18" s="25">
        <f t="shared" si="0"/>
        <v>704.32864379882813</v>
      </c>
    </row>
    <row r="19" spans="1:13" ht="14.4" x14ac:dyDescent="0.3">
      <c r="A19" s="26" t="s">
        <v>156</v>
      </c>
      <c r="B19" s="27">
        <f t="shared" ref="B19:M19" si="1">B18/1024</f>
        <v>3.7781238555908203E-2</v>
      </c>
      <c r="C19" s="27">
        <f t="shared" si="1"/>
        <v>7.8935801982879639E-2</v>
      </c>
      <c r="D19" s="27">
        <f t="shared" si="1"/>
        <v>0.12380102276802063</v>
      </c>
      <c r="E19" s="27">
        <f t="shared" si="1"/>
        <v>0.17203956842422485</v>
      </c>
      <c r="F19" s="27">
        <f t="shared" si="1"/>
        <v>0.22365143895149231</v>
      </c>
      <c r="G19" s="27">
        <f t="shared" si="1"/>
        <v>0.27897396683692932</v>
      </c>
      <c r="H19" s="27">
        <f t="shared" si="1"/>
        <v>0.33766981959342957</v>
      </c>
      <c r="I19" s="27">
        <f t="shared" si="1"/>
        <v>0.40007632970809937</v>
      </c>
      <c r="J19" s="27">
        <f t="shared" si="1"/>
        <v>0.46619349718093872</v>
      </c>
      <c r="K19" s="27">
        <f t="shared" si="1"/>
        <v>0.53602132201194763</v>
      </c>
      <c r="L19" s="27">
        <f t="shared" si="1"/>
        <v>0.60989713668823242</v>
      </c>
      <c r="M19" s="27">
        <f t="shared" si="1"/>
        <v>0.68782094120979309</v>
      </c>
    </row>
    <row r="20" spans="1:13" ht="14.4" x14ac:dyDescent="0.3">
      <c r="A20" s="23" t="s">
        <v>157</v>
      </c>
      <c r="B20" s="28" t="str">
        <f t="shared" ref="B20:M20" si="2">IF(B19&gt;0.7,"UPGRADE!","OK")</f>
        <v>OK</v>
      </c>
      <c r="C20" s="28" t="str">
        <f t="shared" si="2"/>
        <v>OK</v>
      </c>
      <c r="D20" s="28" t="str">
        <f t="shared" si="2"/>
        <v>OK</v>
      </c>
      <c r="E20" s="28" t="str">
        <f t="shared" si="2"/>
        <v>OK</v>
      </c>
      <c r="F20" s="28" t="str">
        <f t="shared" si="2"/>
        <v>OK</v>
      </c>
      <c r="G20" s="28" t="str">
        <f t="shared" si="2"/>
        <v>OK</v>
      </c>
      <c r="H20" s="28" t="str">
        <f t="shared" si="2"/>
        <v>OK</v>
      </c>
      <c r="I20" s="28" t="str">
        <f t="shared" si="2"/>
        <v>OK</v>
      </c>
      <c r="J20" s="28" t="str">
        <f t="shared" si="2"/>
        <v>OK</v>
      </c>
      <c r="K20" s="28" t="str">
        <f t="shared" si="2"/>
        <v>OK</v>
      </c>
      <c r="L20" s="28" t="str">
        <f t="shared" si="2"/>
        <v>OK</v>
      </c>
      <c r="M20" s="28" t="str">
        <f t="shared" si="2"/>
        <v>OK</v>
      </c>
    </row>
    <row r="22" spans="1:13" ht="14.4" x14ac:dyDescent="0.3">
      <c r="A22" s="29" t="s">
        <v>158</v>
      </c>
    </row>
    <row r="23" spans="1:13" ht="14.4" x14ac:dyDescent="0.3">
      <c r="A23" s="30" t="s">
        <v>159</v>
      </c>
      <c r="B23" s="30" t="s">
        <v>160</v>
      </c>
      <c r="C23" s="30" t="s">
        <v>161</v>
      </c>
      <c r="D23" s="30" t="s">
        <v>162</v>
      </c>
    </row>
    <row r="24" spans="1:13" ht="14.4" x14ac:dyDescent="0.3">
      <c r="A24" s="31" t="s">
        <v>163</v>
      </c>
      <c r="B24" s="31" t="s">
        <v>164</v>
      </c>
      <c r="C24" s="31" t="s">
        <v>165</v>
      </c>
      <c r="D24" s="31" t="s">
        <v>166</v>
      </c>
    </row>
    <row r="25" spans="1:13" ht="14.4" x14ac:dyDescent="0.3">
      <c r="A25" s="31" t="s">
        <v>167</v>
      </c>
      <c r="B25" s="31" t="s">
        <v>168</v>
      </c>
      <c r="C25" s="31" t="s">
        <v>169</v>
      </c>
      <c r="D25" s="31" t="s">
        <v>170</v>
      </c>
    </row>
    <row r="26" spans="1:13" ht="14.4" x14ac:dyDescent="0.3">
      <c r="A26" s="31" t="s">
        <v>171</v>
      </c>
      <c r="B26" s="31" t="s">
        <v>172</v>
      </c>
      <c r="C26" s="31" t="s">
        <v>173</v>
      </c>
      <c r="D26" s="31" t="s">
        <v>174</v>
      </c>
    </row>
    <row r="28" spans="1:13" ht="14.4" x14ac:dyDescent="0.3">
      <c r="A28" s="29" t="s">
        <v>175</v>
      </c>
    </row>
    <row r="29" spans="1:13" ht="14.4" x14ac:dyDescent="0.3">
      <c r="A29" s="32" t="s">
        <v>176</v>
      </c>
    </row>
    <row r="30" spans="1:13" ht="14.4" x14ac:dyDescent="0.3">
      <c r="A30" s="32" t="s">
        <v>177</v>
      </c>
    </row>
    <row r="31" spans="1:13" ht="14.4" x14ac:dyDescent="0.3">
      <c r="A31" s="32" t="s">
        <v>178</v>
      </c>
    </row>
    <row r="32" spans="1:13" ht="14.4" x14ac:dyDescent="0.3">
      <c r="A32" s="32" t="s">
        <v>179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opLeftCell="A16" zoomScaleNormal="100" workbookViewId="0">
      <selection activeCell="D30" sqref="D30"/>
    </sheetView>
  </sheetViews>
  <sheetFormatPr baseColWidth="10" defaultColWidth="8.6640625" defaultRowHeight="15" customHeight="1" x14ac:dyDescent="0.3"/>
  <cols>
    <col min="1" max="1" width="38" customWidth="1"/>
    <col min="2" max="2" width="18" customWidth="1"/>
    <col min="3" max="3" width="20" customWidth="1"/>
    <col min="4" max="4" width="40" customWidth="1"/>
  </cols>
  <sheetData>
    <row r="1" spans="1:4" ht="17.399999999999999" x14ac:dyDescent="0.3">
      <c r="A1" s="1" t="s">
        <v>180</v>
      </c>
      <c r="B1" s="1"/>
      <c r="C1" s="1"/>
      <c r="D1" s="1"/>
    </row>
    <row r="3" spans="1:4" ht="15.6" x14ac:dyDescent="0.3">
      <c r="A3" s="15" t="s">
        <v>181</v>
      </c>
    </row>
    <row r="4" spans="1:4" ht="14.4" x14ac:dyDescent="0.3">
      <c r="A4" s="33" t="s">
        <v>182</v>
      </c>
      <c r="B4" s="33" t="s">
        <v>183</v>
      </c>
      <c r="C4" s="33" t="s">
        <v>184</v>
      </c>
      <c r="D4" s="33" t="s">
        <v>120</v>
      </c>
    </row>
    <row r="5" spans="1:4" ht="14.4" x14ac:dyDescent="0.3">
      <c r="A5" s="31" t="s">
        <v>185</v>
      </c>
      <c r="B5" s="34">
        <v>0</v>
      </c>
      <c r="C5" s="35">
        <f t="shared" ref="C5:C11" si="0">B5*950</f>
        <v>0</v>
      </c>
      <c r="D5" s="31" t="s">
        <v>186</v>
      </c>
    </row>
    <row r="6" spans="1:4" ht="14.4" x14ac:dyDescent="0.3">
      <c r="A6" s="31" t="s">
        <v>187</v>
      </c>
      <c r="B6" s="34">
        <v>99</v>
      </c>
      <c r="C6" s="35">
        <f t="shared" si="0"/>
        <v>94050</v>
      </c>
      <c r="D6" s="31" t="s">
        <v>188</v>
      </c>
    </row>
    <row r="7" spans="1:4" ht="14.4" x14ac:dyDescent="0.3">
      <c r="A7" s="31" t="s">
        <v>189</v>
      </c>
      <c r="B7" s="34">
        <v>10</v>
      </c>
      <c r="C7" s="35">
        <f t="shared" si="0"/>
        <v>9500</v>
      </c>
      <c r="D7" s="31" t="s">
        <v>190</v>
      </c>
    </row>
    <row r="8" spans="1:4" ht="14.4" x14ac:dyDescent="0.3">
      <c r="A8" s="31" t="s">
        <v>191</v>
      </c>
      <c r="B8" s="34">
        <v>20</v>
      </c>
      <c r="C8" s="35">
        <f t="shared" si="0"/>
        <v>19000</v>
      </c>
      <c r="D8" s="31" t="s">
        <v>192</v>
      </c>
    </row>
    <row r="9" spans="1:4" ht="14.4" x14ac:dyDescent="0.3">
      <c r="A9" s="31" t="s">
        <v>193</v>
      </c>
      <c r="B9" s="34">
        <v>0</v>
      </c>
      <c r="C9" s="35">
        <f t="shared" si="0"/>
        <v>0</v>
      </c>
      <c r="D9" s="31" t="s">
        <v>46</v>
      </c>
    </row>
    <row r="10" spans="1:4" ht="14.4" x14ac:dyDescent="0.3">
      <c r="A10" s="31" t="s">
        <v>194</v>
      </c>
      <c r="B10" s="34">
        <v>0</v>
      </c>
      <c r="C10" s="35">
        <f t="shared" si="0"/>
        <v>0</v>
      </c>
      <c r="D10" s="31" t="s">
        <v>46</v>
      </c>
    </row>
    <row r="11" spans="1:4" ht="14.4" x14ac:dyDescent="0.3">
      <c r="A11" s="19" t="s">
        <v>195</v>
      </c>
      <c r="B11" s="36">
        <f>SUM(B5:B10)</f>
        <v>129</v>
      </c>
      <c r="C11" s="36">
        <f t="shared" si="0"/>
        <v>122550</v>
      </c>
    </row>
    <row r="13" spans="1:4" ht="15.6" x14ac:dyDescent="0.3">
      <c r="A13" s="15" t="s">
        <v>196</v>
      </c>
    </row>
    <row r="14" spans="1:4" ht="14.4" x14ac:dyDescent="0.3">
      <c r="A14" s="33" t="s">
        <v>182</v>
      </c>
      <c r="B14" s="33" t="s">
        <v>197</v>
      </c>
      <c r="C14" s="33" t="s">
        <v>198</v>
      </c>
      <c r="D14" s="33" t="s">
        <v>120</v>
      </c>
    </row>
    <row r="15" spans="1:4" ht="14.4" x14ac:dyDescent="0.3">
      <c r="A15" s="31" t="s">
        <v>199</v>
      </c>
      <c r="B15" s="37">
        <v>5</v>
      </c>
      <c r="C15" s="35">
        <f t="shared" ref="C15:C23" si="1">B15*950</f>
        <v>4750</v>
      </c>
      <c r="D15" s="31" t="s">
        <v>200</v>
      </c>
    </row>
    <row r="16" spans="1:4" ht="14.4" x14ac:dyDescent="0.3">
      <c r="A16" s="31" t="s">
        <v>201</v>
      </c>
      <c r="B16" s="37">
        <v>5</v>
      </c>
      <c r="C16" s="35">
        <f t="shared" si="1"/>
        <v>4750</v>
      </c>
      <c r="D16" s="31" t="s">
        <v>202</v>
      </c>
    </row>
    <row r="17" spans="1:4" ht="14.4" x14ac:dyDescent="0.3">
      <c r="A17" s="31" t="s">
        <v>203</v>
      </c>
      <c r="B17" s="37">
        <v>8.25</v>
      </c>
      <c r="C17" s="35">
        <f t="shared" si="1"/>
        <v>7837.5</v>
      </c>
      <c r="D17" s="31" t="s">
        <v>204</v>
      </c>
    </row>
    <row r="18" spans="1:4" ht="14.4" x14ac:dyDescent="0.3">
      <c r="A18" s="31" t="s">
        <v>205</v>
      </c>
      <c r="B18" s="37">
        <v>30</v>
      </c>
      <c r="C18" s="35">
        <f t="shared" si="1"/>
        <v>28500</v>
      </c>
      <c r="D18" s="31" t="s">
        <v>110</v>
      </c>
    </row>
    <row r="19" spans="1:4" ht="14.4" x14ac:dyDescent="0.3">
      <c r="A19" s="31" t="s">
        <v>206</v>
      </c>
      <c r="B19" s="37">
        <v>0.83</v>
      </c>
      <c r="C19" s="35">
        <f t="shared" si="1"/>
        <v>788.5</v>
      </c>
      <c r="D19" s="31" t="s">
        <v>207</v>
      </c>
    </row>
    <row r="20" spans="1:4" ht="14.4" x14ac:dyDescent="0.3">
      <c r="A20" s="31" t="s">
        <v>208</v>
      </c>
      <c r="B20" s="37">
        <v>1.1499999999999999</v>
      </c>
      <c r="C20" s="35">
        <f t="shared" si="1"/>
        <v>1092.5</v>
      </c>
      <c r="D20" s="31" t="s">
        <v>209</v>
      </c>
    </row>
    <row r="21" spans="1:4" ht="14.4" x14ac:dyDescent="0.3">
      <c r="A21" s="31" t="s">
        <v>210</v>
      </c>
      <c r="B21" s="37">
        <v>7</v>
      </c>
      <c r="C21" s="35">
        <f t="shared" si="1"/>
        <v>6650</v>
      </c>
      <c r="D21" s="31" t="s">
        <v>96</v>
      </c>
    </row>
    <row r="22" spans="1:4" ht="14.4" x14ac:dyDescent="0.3">
      <c r="A22" s="19" t="s">
        <v>211</v>
      </c>
      <c r="B22" s="38">
        <f>SUM(B15:B20)</f>
        <v>50.23</v>
      </c>
      <c r="C22" s="36">
        <f t="shared" si="1"/>
        <v>47718.5</v>
      </c>
    </row>
    <row r="23" spans="1:4" ht="14.4" x14ac:dyDescent="0.3">
      <c r="A23" s="19" t="s">
        <v>212</v>
      </c>
      <c r="B23" s="38">
        <f>SUM(B15:B21)</f>
        <v>57.23</v>
      </c>
      <c r="C23" s="36">
        <f t="shared" si="1"/>
        <v>54368.5</v>
      </c>
    </row>
    <row r="25" spans="1:4" ht="15.6" x14ac:dyDescent="0.3">
      <c r="A25" s="15" t="s">
        <v>213</v>
      </c>
    </row>
    <row r="26" spans="1:4" ht="14.4" x14ac:dyDescent="0.3">
      <c r="A26" s="30" t="s">
        <v>214</v>
      </c>
      <c r="B26" s="30" t="s">
        <v>85</v>
      </c>
      <c r="C26" s="30" t="s">
        <v>215</v>
      </c>
      <c r="D26" s="30" t="s">
        <v>216</v>
      </c>
    </row>
    <row r="27" spans="1:4" ht="14.4" x14ac:dyDescent="0.3">
      <c r="A27" s="31" t="s">
        <v>217</v>
      </c>
      <c r="B27" s="31" t="s">
        <v>218</v>
      </c>
      <c r="C27" s="39">
        <f>4.99*(1-0.0416)</f>
        <v>4.7824160000000004</v>
      </c>
      <c r="D27" s="39">
        <f>9.99*(1-0.0416)</f>
        <v>9.5744160000000011</v>
      </c>
    </row>
    <row r="28" spans="1:4" ht="14.4" x14ac:dyDescent="0.3">
      <c r="A28" s="31" t="s">
        <v>219</v>
      </c>
      <c r="B28" s="31" t="s">
        <v>220</v>
      </c>
      <c r="C28" s="39">
        <f>4.99*0.85</f>
        <v>4.2415000000000003</v>
      </c>
      <c r="D28" s="39">
        <f>9.99*0.85</f>
        <v>8.4915000000000003</v>
      </c>
    </row>
    <row r="29" spans="1:4" ht="14.4" x14ac:dyDescent="0.3">
      <c r="A29" s="31" t="s">
        <v>221</v>
      </c>
      <c r="B29" s="31" t="s">
        <v>222</v>
      </c>
      <c r="C29" s="39">
        <f>4.99*0.7</f>
        <v>3.4929999999999999</v>
      </c>
      <c r="D29" s="39">
        <f>9.99*0.7</f>
        <v>6.9929999999999994</v>
      </c>
    </row>
    <row r="30" spans="1:4" ht="14.4" x14ac:dyDescent="0.3">
      <c r="A30" s="31" t="s">
        <v>223</v>
      </c>
      <c r="B30" s="31" t="s">
        <v>220</v>
      </c>
      <c r="C30" s="39">
        <f>4.99*0.85</f>
        <v>4.2415000000000003</v>
      </c>
      <c r="D30" s="39">
        <f>9.99*0.85</f>
        <v>8.4915000000000003</v>
      </c>
    </row>
    <row r="31" spans="1:4" ht="14.4" x14ac:dyDescent="0.3">
      <c r="A31" s="31" t="s">
        <v>224</v>
      </c>
      <c r="B31" s="31" t="s">
        <v>225</v>
      </c>
      <c r="C31" s="39">
        <f>4.99*(1-0.0325)</f>
        <v>4.8278250000000007</v>
      </c>
      <c r="D31" s="39">
        <f>9.99*(1-0.0325)</f>
        <v>9.6653250000000011</v>
      </c>
    </row>
    <row r="34" spans="1:3" ht="15.6" x14ac:dyDescent="0.3">
      <c r="A34" s="15" t="s">
        <v>226</v>
      </c>
    </row>
    <row r="35" spans="1:3" ht="14.4" x14ac:dyDescent="0.3">
      <c r="A35" s="33" t="s">
        <v>227</v>
      </c>
      <c r="B35" s="33" t="s">
        <v>228</v>
      </c>
      <c r="C35" s="33" t="s">
        <v>229</v>
      </c>
    </row>
    <row r="36" spans="1:3" ht="14.4" x14ac:dyDescent="0.3">
      <c r="A36" s="31" t="s">
        <v>230</v>
      </c>
      <c r="B36" s="31" t="s">
        <v>231</v>
      </c>
      <c r="C36" s="31" t="s">
        <v>232</v>
      </c>
    </row>
    <row r="37" spans="1:3" ht="14.4" x14ac:dyDescent="0.3">
      <c r="A37" s="31" t="s">
        <v>233</v>
      </c>
      <c r="B37" s="31" t="s">
        <v>234</v>
      </c>
      <c r="C37" s="31" t="s">
        <v>235</v>
      </c>
    </row>
    <row r="38" spans="1:3" ht="14.4" x14ac:dyDescent="0.3">
      <c r="A38" s="31" t="s">
        <v>236</v>
      </c>
      <c r="B38" s="31" t="s">
        <v>237</v>
      </c>
      <c r="C38" s="31" t="s">
        <v>238</v>
      </c>
    </row>
    <row r="39" spans="1:3" ht="14.4" x14ac:dyDescent="0.3">
      <c r="A39" s="31" t="s">
        <v>239</v>
      </c>
      <c r="B39" s="31" t="s">
        <v>240</v>
      </c>
      <c r="C39" s="31" t="s">
        <v>241</v>
      </c>
    </row>
    <row r="40" spans="1:3" ht="14.4" x14ac:dyDescent="0.3">
      <c r="A40" s="31" t="s">
        <v>242</v>
      </c>
      <c r="B40" s="31" t="s">
        <v>243</v>
      </c>
      <c r="C40" s="31" t="s">
        <v>168</v>
      </c>
    </row>
    <row r="41" spans="1:3" ht="14.4" x14ac:dyDescent="0.3">
      <c r="A41" s="31" t="s">
        <v>244</v>
      </c>
      <c r="B41" s="31" t="s">
        <v>245</v>
      </c>
      <c r="C41" s="31" t="s">
        <v>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E676"/>
  </sheetPr>
  <dimension ref="A1:G32"/>
  <sheetViews>
    <sheetView topLeftCell="A7" zoomScaleNormal="100" workbookViewId="0"/>
  </sheetViews>
  <sheetFormatPr baseColWidth="10" defaultColWidth="8.6640625" defaultRowHeight="15" customHeight="1" x14ac:dyDescent="0.3"/>
  <cols>
    <col min="1" max="1" width="42" customWidth="1"/>
    <col min="2" max="2" width="16" customWidth="1"/>
    <col min="3" max="3" width="35" customWidth="1"/>
  </cols>
  <sheetData>
    <row r="1" spans="1:7" ht="15" customHeight="1" x14ac:dyDescent="0.3">
      <c r="A1" s="40" t="s">
        <v>246</v>
      </c>
      <c r="B1" s="41"/>
      <c r="C1" s="41"/>
      <c r="D1" s="41"/>
      <c r="E1" s="41"/>
      <c r="F1" s="41"/>
      <c r="G1" s="41"/>
    </row>
    <row r="3" spans="1:7" ht="15" customHeight="1" x14ac:dyDescent="0.3">
      <c r="A3" s="42" t="s">
        <v>247</v>
      </c>
      <c r="B3" s="42"/>
      <c r="C3" s="42"/>
      <c r="D3" s="42"/>
    </row>
    <row r="4" spans="1:7" ht="15" customHeight="1" x14ac:dyDescent="0.3">
      <c r="A4" s="43" t="s">
        <v>248</v>
      </c>
      <c r="B4" s="44">
        <v>100</v>
      </c>
      <c r="C4" s="45" t="s">
        <v>249</v>
      </c>
    </row>
    <row r="5" spans="1:7" ht="15" customHeight="1" x14ac:dyDescent="0.3">
      <c r="A5" s="43" t="s">
        <v>250</v>
      </c>
      <c r="B5" s="44">
        <v>10</v>
      </c>
      <c r="C5" s="45" t="s">
        <v>249</v>
      </c>
    </row>
    <row r="6" spans="1:7" ht="15" customHeight="1" x14ac:dyDescent="0.3">
      <c r="A6" s="43" t="s">
        <v>251</v>
      </c>
      <c r="B6" s="44">
        <v>2</v>
      </c>
      <c r="C6" s="45" t="s">
        <v>249</v>
      </c>
    </row>
    <row r="7" spans="1:7" ht="15" customHeight="1" x14ac:dyDescent="0.3">
      <c r="A7" s="43" t="s">
        <v>252</v>
      </c>
      <c r="B7" s="46">
        <v>0.15</v>
      </c>
      <c r="C7" s="45" t="s">
        <v>253</v>
      </c>
    </row>
    <row r="8" spans="1:7" ht="15" customHeight="1" x14ac:dyDescent="0.3">
      <c r="A8" s="43" t="s">
        <v>254</v>
      </c>
      <c r="B8" s="46">
        <v>0.08</v>
      </c>
      <c r="C8" s="45" t="s">
        <v>255</v>
      </c>
    </row>
    <row r="9" spans="1:7" ht="15" customHeight="1" x14ac:dyDescent="0.3">
      <c r="A9" s="43" t="s">
        <v>256</v>
      </c>
      <c r="B9" s="46">
        <v>0.05</v>
      </c>
      <c r="C9" s="45" t="s">
        <v>257</v>
      </c>
    </row>
    <row r="10" spans="1:7" ht="15" customHeight="1" x14ac:dyDescent="0.3">
      <c r="A10" s="43" t="s">
        <v>258</v>
      </c>
      <c r="B10" s="46">
        <v>0.04</v>
      </c>
      <c r="C10" s="45" t="s">
        <v>259</v>
      </c>
    </row>
    <row r="12" spans="1:7" ht="15" customHeight="1" x14ac:dyDescent="0.3">
      <c r="A12" s="47" t="s">
        <v>260</v>
      </c>
      <c r="B12" s="47"/>
      <c r="C12" s="47"/>
      <c r="D12" s="47"/>
    </row>
    <row r="13" spans="1:7" ht="15" customHeight="1" x14ac:dyDescent="0.3">
      <c r="A13" s="43" t="s">
        <v>261</v>
      </c>
      <c r="B13" s="48">
        <v>15</v>
      </c>
      <c r="C13" s="45" t="s">
        <v>262</v>
      </c>
    </row>
    <row r="14" spans="1:7" ht="15" customHeight="1" x14ac:dyDescent="0.3">
      <c r="A14" s="43" t="s">
        <v>263</v>
      </c>
      <c r="B14" s="48">
        <v>50</v>
      </c>
      <c r="C14" s="45" t="s">
        <v>264</v>
      </c>
    </row>
    <row r="15" spans="1:7" ht="15" customHeight="1" x14ac:dyDescent="0.3">
      <c r="A15" s="43" t="s">
        <v>265</v>
      </c>
      <c r="B15" s="48">
        <v>80</v>
      </c>
      <c r="C15" s="45" t="s">
        <v>266</v>
      </c>
    </row>
    <row r="16" spans="1:7" ht="15" customHeight="1" x14ac:dyDescent="0.3">
      <c r="A16" s="43" t="s">
        <v>267</v>
      </c>
      <c r="B16" s="49">
        <v>2.5</v>
      </c>
      <c r="C16" s="45"/>
    </row>
    <row r="17" spans="1:4" ht="15" customHeight="1" x14ac:dyDescent="0.3">
      <c r="A17" s="43" t="s">
        <v>268</v>
      </c>
      <c r="B17" s="48">
        <v>800</v>
      </c>
      <c r="C17" s="45" t="s">
        <v>269</v>
      </c>
    </row>
    <row r="18" spans="1:4" ht="15" customHeight="1" x14ac:dyDescent="0.3">
      <c r="A18" s="43" t="s">
        <v>270</v>
      </c>
      <c r="B18" s="48">
        <v>200</v>
      </c>
      <c r="C18" s="45" t="s">
        <v>271</v>
      </c>
    </row>
    <row r="19" spans="1:4" ht="15" customHeight="1" x14ac:dyDescent="0.3">
      <c r="A19" s="43" t="s">
        <v>272</v>
      </c>
      <c r="B19" s="48">
        <v>150</v>
      </c>
      <c r="C19" s="45" t="s">
        <v>273</v>
      </c>
    </row>
    <row r="20" spans="1:4" ht="15" customHeight="1" x14ac:dyDescent="0.3">
      <c r="A20" s="43" t="s">
        <v>274</v>
      </c>
      <c r="B20" s="48">
        <v>2</v>
      </c>
      <c r="C20" s="45" t="s">
        <v>275</v>
      </c>
    </row>
    <row r="22" spans="1:4" ht="15" customHeight="1" x14ac:dyDescent="0.3">
      <c r="A22" s="50" t="s">
        <v>276</v>
      </c>
      <c r="B22" s="50"/>
      <c r="C22" s="50"/>
      <c r="D22" s="50"/>
    </row>
    <row r="23" spans="1:4" ht="15" customHeight="1" x14ac:dyDescent="0.3">
      <c r="A23" s="43" t="s">
        <v>277</v>
      </c>
      <c r="B23" s="51">
        <v>8.5000000000000006E-3</v>
      </c>
      <c r="C23" s="45" t="s">
        <v>278</v>
      </c>
    </row>
    <row r="24" spans="1:4" ht="15" customHeight="1" x14ac:dyDescent="0.3">
      <c r="A24" s="43" t="s">
        <v>279</v>
      </c>
      <c r="B24" s="51">
        <v>1.4E-2</v>
      </c>
      <c r="C24" s="45" t="s">
        <v>278</v>
      </c>
    </row>
    <row r="25" spans="1:4" ht="15" customHeight="1" x14ac:dyDescent="0.3">
      <c r="A25" s="43" t="s">
        <v>280</v>
      </c>
      <c r="B25" s="51">
        <v>5.0000000000000001E-3</v>
      </c>
      <c r="C25" s="45" t="s">
        <v>281</v>
      </c>
    </row>
    <row r="26" spans="1:4" ht="15" customHeight="1" x14ac:dyDescent="0.3">
      <c r="A26" s="43" t="s">
        <v>282</v>
      </c>
      <c r="B26" s="52">
        <v>1.1499999999999999</v>
      </c>
      <c r="C26" s="45" t="s">
        <v>283</v>
      </c>
    </row>
    <row r="27" spans="1:4" ht="15" customHeight="1" x14ac:dyDescent="0.3">
      <c r="A27" s="43" t="s">
        <v>284</v>
      </c>
      <c r="B27" s="53">
        <v>0.15</v>
      </c>
      <c r="C27" s="45" t="s">
        <v>285</v>
      </c>
    </row>
    <row r="28" spans="1:4" ht="15" customHeight="1" x14ac:dyDescent="0.3">
      <c r="A28" s="43" t="s">
        <v>286</v>
      </c>
      <c r="B28" s="53">
        <v>0.6</v>
      </c>
      <c r="C28" s="45" t="s">
        <v>285</v>
      </c>
    </row>
    <row r="29" spans="1:4" ht="15" customHeight="1" x14ac:dyDescent="0.3">
      <c r="A29" s="43" t="s">
        <v>287</v>
      </c>
      <c r="B29" s="52">
        <v>5</v>
      </c>
      <c r="C29" s="45" t="s">
        <v>288</v>
      </c>
    </row>
    <row r="30" spans="1:4" ht="15" customHeight="1" x14ac:dyDescent="0.3">
      <c r="A30" s="43" t="s">
        <v>289</v>
      </c>
      <c r="B30" s="52">
        <v>5</v>
      </c>
      <c r="C30" s="45" t="s">
        <v>290</v>
      </c>
    </row>
    <row r="31" spans="1:4" ht="15" customHeight="1" x14ac:dyDescent="0.3">
      <c r="A31" s="43" t="s">
        <v>291</v>
      </c>
      <c r="B31" s="52">
        <v>8.25</v>
      </c>
      <c r="C31" s="45" t="s">
        <v>204</v>
      </c>
    </row>
    <row r="32" spans="1:4" ht="15" customHeight="1" x14ac:dyDescent="0.3">
      <c r="A32" s="43" t="s">
        <v>292</v>
      </c>
      <c r="B32" s="54">
        <v>0.15</v>
      </c>
      <c r="C32" s="45" t="s">
        <v>293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100"/>
  </sheetPr>
  <dimension ref="A1:N32"/>
  <sheetViews>
    <sheetView tabSelected="1" topLeftCell="A7" zoomScaleNormal="100" workbookViewId="0">
      <selection activeCell="B19" sqref="B19"/>
    </sheetView>
  </sheetViews>
  <sheetFormatPr baseColWidth="10" defaultColWidth="8.6640625" defaultRowHeight="15" customHeight="1" x14ac:dyDescent="0.3"/>
  <cols>
    <col min="1" max="1" width="32" customWidth="1"/>
    <col min="2" max="14" width="14" customWidth="1"/>
  </cols>
  <sheetData>
    <row r="1" spans="1:14" ht="15" customHeight="1" x14ac:dyDescent="0.3">
      <c r="A1" s="40" t="s">
        <v>294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5" customHeight="1" x14ac:dyDescent="0.3">
      <c r="A2" s="55"/>
      <c r="B2" s="56" t="s">
        <v>142</v>
      </c>
      <c r="C2" s="56" t="s">
        <v>143</v>
      </c>
      <c r="D2" s="56" t="s">
        <v>144</v>
      </c>
      <c r="E2" s="56" t="s">
        <v>145</v>
      </c>
      <c r="F2" s="56" t="s">
        <v>146</v>
      </c>
      <c r="G2" s="56" t="s">
        <v>147</v>
      </c>
      <c r="H2" s="56" t="s">
        <v>148</v>
      </c>
      <c r="I2" s="56" t="s">
        <v>149</v>
      </c>
      <c r="J2" s="56" t="s">
        <v>150</v>
      </c>
      <c r="K2" s="56" t="s">
        <v>151</v>
      </c>
      <c r="L2" s="56" t="s">
        <v>152</v>
      </c>
      <c r="M2" s="56" t="s">
        <v>153</v>
      </c>
      <c r="N2" s="57" t="s">
        <v>295</v>
      </c>
    </row>
    <row r="3" spans="1:14" ht="15" customHeight="1" x14ac:dyDescent="0.3">
      <c r="A3" s="42" t="s">
        <v>296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" customHeight="1" x14ac:dyDescent="0.3">
      <c r="A4" s="43" t="s">
        <v>248</v>
      </c>
      <c r="B4" s="58">
        <f>'Modelo Financiero'!B4</f>
        <v>100</v>
      </c>
      <c r="C4" s="59">
        <f>ROUND(B4*(1+'Modelo Financiero'!B7)-B4*'Modelo Financiero'!B8-B4*'Modelo Financiero'!B10,0)</f>
        <v>103</v>
      </c>
      <c r="D4" s="59">
        <f>ROUND(C4*(1+'Modelo Financiero'!B7)-C4*'Modelo Financiero'!B8-C4*'Modelo Financiero'!B10,0)</f>
        <v>106</v>
      </c>
      <c r="E4" s="59">
        <f>ROUND(D4*(1+'Modelo Financiero'!B7)-D4*'Modelo Financiero'!B8-D4*'Modelo Financiero'!B10,0)</f>
        <v>109</v>
      </c>
      <c r="F4" s="59">
        <f>ROUND(E4*(1+'Modelo Financiero'!B7)-E4*'Modelo Financiero'!B8-E4*'Modelo Financiero'!B10,0)</f>
        <v>112</v>
      </c>
      <c r="G4" s="59">
        <f>ROUND(F4*(1+'Modelo Financiero'!B7)-F4*'Modelo Financiero'!B8-F4*'Modelo Financiero'!B10,0)</f>
        <v>115</v>
      </c>
      <c r="H4" s="59">
        <f>ROUND(G4*(1+'Modelo Financiero'!B7)-G4*'Modelo Financiero'!B8-G4*'Modelo Financiero'!B10,0)</f>
        <v>118</v>
      </c>
      <c r="I4" s="59">
        <f>ROUND(H4*(1+'Modelo Financiero'!B7)-H4*'Modelo Financiero'!B8-H4*'Modelo Financiero'!B10,0)</f>
        <v>122</v>
      </c>
      <c r="J4" s="59">
        <f>ROUND(I4*(1+'Modelo Financiero'!B7)-I4*'Modelo Financiero'!B8-I4*'Modelo Financiero'!B10,0)</f>
        <v>126</v>
      </c>
      <c r="K4" s="59">
        <f>ROUND(J4*(1+'Modelo Financiero'!B7)-J4*'Modelo Financiero'!B8-J4*'Modelo Financiero'!B10,0)</f>
        <v>130</v>
      </c>
      <c r="L4" s="59">
        <f>ROUND(K4*(1+'Modelo Financiero'!B7)-K4*'Modelo Financiero'!B8-K4*'Modelo Financiero'!B10,0)</f>
        <v>134</v>
      </c>
      <c r="M4" s="59">
        <f>ROUND(L4*(1+'Modelo Financiero'!B7)-L4*'Modelo Financiero'!B8-L4*'Modelo Financiero'!B10,0)</f>
        <v>138</v>
      </c>
      <c r="N4" s="59">
        <f>M4</f>
        <v>138</v>
      </c>
    </row>
    <row r="5" spans="1:14" ht="15" customHeight="1" x14ac:dyDescent="0.3">
      <c r="A5" s="43" t="s">
        <v>297</v>
      </c>
      <c r="B5" s="58">
        <f>'Modelo Financiero'!B5</f>
        <v>10</v>
      </c>
      <c r="C5" s="59">
        <f>ROUND(B5+B4*'Modelo Financiero'!B8-B5*'Modelo Financiero'!B9-B5*'Modelo Financiero'!B10,0)</f>
        <v>17</v>
      </c>
      <c r="D5" s="59">
        <f>ROUND(C5+C4*'Modelo Financiero'!B8-C5*'Modelo Financiero'!B9-C5*'Modelo Financiero'!B10,0)</f>
        <v>24</v>
      </c>
      <c r="E5" s="59">
        <f>ROUND(D5+D4*'Modelo Financiero'!B8-D5*'Modelo Financiero'!B9-D5*'Modelo Financiero'!B10,0)</f>
        <v>30</v>
      </c>
      <c r="F5" s="59">
        <f>ROUND(E5+E4*'Modelo Financiero'!B8-E5*'Modelo Financiero'!B9-E5*'Modelo Financiero'!B10,0)</f>
        <v>36</v>
      </c>
      <c r="G5" s="59">
        <f>ROUND(F5+F4*'Modelo Financiero'!B8-F5*'Modelo Financiero'!B9-F5*'Modelo Financiero'!B10,0)</f>
        <v>42</v>
      </c>
      <c r="H5" s="59">
        <f>ROUND(G5+G4*'Modelo Financiero'!B8-G5*'Modelo Financiero'!B9-G5*'Modelo Financiero'!B10,0)</f>
        <v>47</v>
      </c>
      <c r="I5" s="59">
        <f>ROUND(H5+H4*'Modelo Financiero'!B8-H5*'Modelo Financiero'!B9-H5*'Modelo Financiero'!B10,0)</f>
        <v>52</v>
      </c>
      <c r="J5" s="59">
        <f>ROUND(I5+I4*'Modelo Financiero'!B8-I5*'Modelo Financiero'!B9-I5*'Modelo Financiero'!B10,0)</f>
        <v>57</v>
      </c>
      <c r="K5" s="59">
        <f>ROUND(J5+J4*'Modelo Financiero'!B8-J5*'Modelo Financiero'!B9-J5*'Modelo Financiero'!B10,0)</f>
        <v>62</v>
      </c>
      <c r="L5" s="59">
        <f>ROUND(K5+K4*'Modelo Financiero'!B8-K5*'Modelo Financiero'!B9-K5*'Modelo Financiero'!B10,0)</f>
        <v>67</v>
      </c>
      <c r="M5" s="59">
        <f>ROUND(L5+L4*'Modelo Financiero'!B8-L5*'Modelo Financiero'!B9-L5*'Modelo Financiero'!B10,0)</f>
        <v>72</v>
      </c>
      <c r="N5" s="59">
        <f>M5</f>
        <v>72</v>
      </c>
    </row>
    <row r="6" spans="1:14" ht="15" customHeight="1" x14ac:dyDescent="0.3">
      <c r="A6" s="43" t="s">
        <v>298</v>
      </c>
      <c r="B6" s="58">
        <f>'Modelo Financiero'!B6</f>
        <v>2</v>
      </c>
      <c r="C6" s="59">
        <f>ROUND(B6+B5*'Modelo Financiero'!B9-B6*'Modelo Financiero'!B10,0)</f>
        <v>2</v>
      </c>
      <c r="D6" s="59">
        <f>ROUND(C6+C5*'Modelo Financiero'!B9-C6*'Modelo Financiero'!B10,0)</f>
        <v>3</v>
      </c>
      <c r="E6" s="59">
        <f>ROUND(D6+D5*'Modelo Financiero'!B9-D6*'Modelo Financiero'!B10,0)</f>
        <v>4</v>
      </c>
      <c r="F6" s="59">
        <f>ROUND(E6+E5*'Modelo Financiero'!B9-E6*'Modelo Financiero'!B10,0)</f>
        <v>5</v>
      </c>
      <c r="G6" s="59">
        <f>ROUND(F6+F5*'Modelo Financiero'!B9-F6*'Modelo Financiero'!B10,0)</f>
        <v>7</v>
      </c>
      <c r="H6" s="59">
        <f>ROUND(G6+G5*'Modelo Financiero'!B9-G6*'Modelo Financiero'!B10,0)</f>
        <v>9</v>
      </c>
      <c r="I6" s="59">
        <f>ROUND(H6+H5*'Modelo Financiero'!B9-H6*'Modelo Financiero'!B10,0)</f>
        <v>11</v>
      </c>
      <c r="J6" s="59">
        <f>ROUND(I6+I5*'Modelo Financiero'!B9-I6*'Modelo Financiero'!B10,0)</f>
        <v>13</v>
      </c>
      <c r="K6" s="59">
        <f>ROUND(J6+J5*'Modelo Financiero'!B9-J6*'Modelo Financiero'!B10,0)</f>
        <v>15</v>
      </c>
      <c r="L6" s="59">
        <f>ROUND(K6+K5*'Modelo Financiero'!B9-K6*'Modelo Financiero'!B10,0)</f>
        <v>18</v>
      </c>
      <c r="M6" s="59">
        <f>ROUND(L6+L5*'Modelo Financiero'!B9-L6*'Modelo Financiero'!B10,0)</f>
        <v>21</v>
      </c>
      <c r="N6" s="59">
        <f>M6</f>
        <v>21</v>
      </c>
    </row>
    <row r="7" spans="1:14" ht="15" customHeight="1" x14ac:dyDescent="0.3">
      <c r="A7" s="55" t="s">
        <v>154</v>
      </c>
      <c r="B7" s="60">
        <f t="shared" ref="B7:M7" si="0">B4+B5+B6</f>
        <v>112</v>
      </c>
      <c r="C7" s="60">
        <f t="shared" si="0"/>
        <v>122</v>
      </c>
      <c r="D7" s="60">
        <f t="shared" si="0"/>
        <v>133</v>
      </c>
      <c r="E7" s="60">
        <f t="shared" si="0"/>
        <v>143</v>
      </c>
      <c r="F7" s="60">
        <f t="shared" si="0"/>
        <v>153</v>
      </c>
      <c r="G7" s="60">
        <f t="shared" si="0"/>
        <v>164</v>
      </c>
      <c r="H7" s="60">
        <f t="shared" si="0"/>
        <v>174</v>
      </c>
      <c r="I7" s="60">
        <f t="shared" si="0"/>
        <v>185</v>
      </c>
      <c r="J7" s="60">
        <f t="shared" si="0"/>
        <v>196</v>
      </c>
      <c r="K7" s="60">
        <f t="shared" si="0"/>
        <v>207</v>
      </c>
      <c r="L7" s="60">
        <f t="shared" si="0"/>
        <v>219</v>
      </c>
      <c r="M7" s="60">
        <f t="shared" si="0"/>
        <v>231</v>
      </c>
      <c r="N7" s="60">
        <f>M7</f>
        <v>231</v>
      </c>
    </row>
    <row r="9" spans="1:14" ht="15" customHeight="1" x14ac:dyDescent="0.3">
      <c r="A9" s="61" t="s">
        <v>299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</row>
    <row r="10" spans="1:14" ht="15" customHeight="1" x14ac:dyDescent="0.3">
      <c r="A10" s="43" t="s">
        <v>300</v>
      </c>
      <c r="B10" s="62">
        <f t="shared" ref="B10:M10" si="1">B5*4.99</f>
        <v>49.900000000000006</v>
      </c>
      <c r="C10" s="62">
        <f t="shared" si="1"/>
        <v>84.83</v>
      </c>
      <c r="D10" s="62">
        <f t="shared" si="1"/>
        <v>119.76</v>
      </c>
      <c r="E10" s="62">
        <f t="shared" si="1"/>
        <v>149.70000000000002</v>
      </c>
      <c r="F10" s="62">
        <f t="shared" si="1"/>
        <v>179.64000000000001</v>
      </c>
      <c r="G10" s="62">
        <f t="shared" si="1"/>
        <v>209.58</v>
      </c>
      <c r="H10" s="62">
        <f t="shared" si="1"/>
        <v>234.53</v>
      </c>
      <c r="I10" s="62">
        <f t="shared" si="1"/>
        <v>259.48</v>
      </c>
      <c r="J10" s="62">
        <f t="shared" si="1"/>
        <v>284.43</v>
      </c>
      <c r="K10" s="62">
        <f t="shared" si="1"/>
        <v>309.38</v>
      </c>
      <c r="L10" s="62">
        <f t="shared" si="1"/>
        <v>334.33000000000004</v>
      </c>
      <c r="M10" s="62">
        <f t="shared" si="1"/>
        <v>359.28000000000003</v>
      </c>
      <c r="N10" s="62">
        <f>SUM(B10:M10)</f>
        <v>2574.84</v>
      </c>
    </row>
    <row r="11" spans="1:14" ht="15" customHeight="1" x14ac:dyDescent="0.3">
      <c r="A11" s="43" t="s">
        <v>301</v>
      </c>
      <c r="B11" s="62">
        <f>B6*9.99</f>
        <v>19.98</v>
      </c>
      <c r="C11" s="62">
        <f t="shared" ref="C11:N11" si="2">C6*9.99</f>
        <v>19.98</v>
      </c>
      <c r="D11" s="62">
        <f t="shared" si="2"/>
        <v>29.97</v>
      </c>
      <c r="E11" s="62">
        <f t="shared" si="2"/>
        <v>39.96</v>
      </c>
      <c r="F11" s="62">
        <f t="shared" si="2"/>
        <v>49.95</v>
      </c>
      <c r="G11" s="62">
        <f t="shared" si="2"/>
        <v>69.930000000000007</v>
      </c>
      <c r="H11" s="62">
        <f t="shared" si="2"/>
        <v>89.91</v>
      </c>
      <c r="I11" s="62">
        <f t="shared" si="2"/>
        <v>109.89</v>
      </c>
      <c r="J11" s="62">
        <f t="shared" si="2"/>
        <v>129.87</v>
      </c>
      <c r="K11" s="62">
        <f t="shared" si="2"/>
        <v>149.85</v>
      </c>
      <c r="L11" s="62">
        <f t="shared" si="2"/>
        <v>179.82</v>
      </c>
      <c r="M11" s="62">
        <f t="shared" si="2"/>
        <v>209.79</v>
      </c>
      <c r="N11" s="62">
        <f t="shared" si="2"/>
        <v>209.79</v>
      </c>
    </row>
    <row r="12" spans="1:14" ht="15" customHeight="1" x14ac:dyDescent="0.3">
      <c r="A12" s="55" t="s">
        <v>302</v>
      </c>
      <c r="B12" s="63">
        <f t="shared" ref="B12:M12" si="3">B10+B11</f>
        <v>69.88000000000001</v>
      </c>
      <c r="C12" s="63">
        <f t="shared" si="3"/>
        <v>104.81</v>
      </c>
      <c r="D12" s="63">
        <f t="shared" si="3"/>
        <v>149.73000000000002</v>
      </c>
      <c r="E12" s="63">
        <f t="shared" si="3"/>
        <v>189.66000000000003</v>
      </c>
      <c r="F12" s="63">
        <f t="shared" si="3"/>
        <v>229.59000000000003</v>
      </c>
      <c r="G12" s="63">
        <f t="shared" si="3"/>
        <v>279.51</v>
      </c>
      <c r="H12" s="63">
        <f t="shared" si="3"/>
        <v>324.44</v>
      </c>
      <c r="I12" s="63">
        <f t="shared" si="3"/>
        <v>369.37</v>
      </c>
      <c r="J12" s="63">
        <f t="shared" si="3"/>
        <v>414.3</v>
      </c>
      <c r="K12" s="63">
        <f t="shared" si="3"/>
        <v>459.23</v>
      </c>
      <c r="L12" s="63">
        <f t="shared" si="3"/>
        <v>514.15000000000009</v>
      </c>
      <c r="M12" s="63">
        <f t="shared" si="3"/>
        <v>569.07000000000005</v>
      </c>
      <c r="N12" s="63">
        <f>SUM(B12:M12)</f>
        <v>3673.7400000000007</v>
      </c>
    </row>
    <row r="13" spans="1:14" ht="15" customHeight="1" x14ac:dyDescent="0.3">
      <c r="A13" s="64" t="s">
        <v>303</v>
      </c>
      <c r="B13" s="65">
        <f>B12*'Modelo Financiero'!B32</f>
        <v>10.482000000000001</v>
      </c>
      <c r="C13" s="65">
        <f>C12*'Modelo Financiero'!B32</f>
        <v>15.721499999999999</v>
      </c>
      <c r="D13" s="65">
        <f>D12*'Modelo Financiero'!B32</f>
        <v>22.459500000000002</v>
      </c>
      <c r="E13" s="65">
        <f>E12*'Modelo Financiero'!B32</f>
        <v>28.449000000000002</v>
      </c>
      <c r="F13" s="65">
        <f>F12*'Modelo Financiero'!B32</f>
        <v>34.438500000000005</v>
      </c>
      <c r="G13" s="65">
        <f>G12*'Modelo Financiero'!B32</f>
        <v>41.926499999999997</v>
      </c>
      <c r="H13" s="65">
        <f>H12*'Modelo Financiero'!B32</f>
        <v>48.665999999999997</v>
      </c>
      <c r="I13" s="65">
        <f>I12*'Modelo Financiero'!B32</f>
        <v>55.405499999999996</v>
      </c>
      <c r="J13" s="65">
        <f>J12*'Modelo Financiero'!B32</f>
        <v>62.144999999999996</v>
      </c>
      <c r="K13" s="65">
        <f>K12*'Modelo Financiero'!B32</f>
        <v>68.884500000000003</v>
      </c>
      <c r="L13" s="65">
        <f>L12*'Modelo Financiero'!B32</f>
        <v>77.122500000000016</v>
      </c>
      <c r="M13" s="65">
        <f>M12*'Modelo Financiero'!B32</f>
        <v>85.360500000000002</v>
      </c>
      <c r="N13" s="62">
        <f>SUM(B13:M13)</f>
        <v>551.06099999999992</v>
      </c>
    </row>
    <row r="14" spans="1:14" ht="15" customHeight="1" x14ac:dyDescent="0.3">
      <c r="A14" s="55" t="s">
        <v>304</v>
      </c>
      <c r="B14" s="63">
        <f t="shared" ref="B14:M14" si="4">B12-B13</f>
        <v>59.39800000000001</v>
      </c>
      <c r="C14" s="63">
        <f t="shared" si="4"/>
        <v>89.08850000000001</v>
      </c>
      <c r="D14" s="63">
        <f t="shared" si="4"/>
        <v>127.27050000000001</v>
      </c>
      <c r="E14" s="63">
        <f t="shared" si="4"/>
        <v>161.21100000000001</v>
      </c>
      <c r="F14" s="63">
        <f t="shared" si="4"/>
        <v>195.15150000000003</v>
      </c>
      <c r="G14" s="63">
        <f t="shared" si="4"/>
        <v>237.58349999999999</v>
      </c>
      <c r="H14" s="63">
        <f t="shared" si="4"/>
        <v>275.774</v>
      </c>
      <c r="I14" s="63">
        <f t="shared" si="4"/>
        <v>313.96449999999999</v>
      </c>
      <c r="J14" s="63">
        <f t="shared" si="4"/>
        <v>352.15500000000003</v>
      </c>
      <c r="K14" s="63">
        <f t="shared" si="4"/>
        <v>390.34550000000002</v>
      </c>
      <c r="L14" s="63">
        <f t="shared" si="4"/>
        <v>437.02750000000009</v>
      </c>
      <c r="M14" s="63">
        <f t="shared" si="4"/>
        <v>483.70950000000005</v>
      </c>
      <c r="N14" s="63">
        <f>SUM(B14:M14)</f>
        <v>3122.6790000000001</v>
      </c>
    </row>
    <row r="16" spans="1:14" ht="15" customHeight="1" x14ac:dyDescent="0.3">
      <c r="A16" s="50" t="s">
        <v>305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4" ht="15" customHeight="1" x14ac:dyDescent="0.3">
      <c r="A17" s="43" t="s">
        <v>306</v>
      </c>
      <c r="B17" s="62">
        <f>(B4*'Modelo Financiero'!B13+B5*'Modelo Financiero'!B14+B6*'Modelo Financiero'!B15)*'Modelo Financiero'!B16*'Modelo Financiero'!B23</f>
        <v>45.900000000000006</v>
      </c>
      <c r="C17" s="62">
        <f>(C4*'Modelo Financiero'!B13+C5*'Modelo Financiero'!B14+C6*'Modelo Financiero'!B15)*'Modelo Financiero'!B16*'Modelo Financiero'!B23</f>
        <v>54.293750000000003</v>
      </c>
      <c r="D17" s="62">
        <f>(D4*'Modelo Financiero'!B13+D5*'Modelo Financiero'!B14+D6*'Modelo Financiero'!B15)*'Modelo Financiero'!B16*'Modelo Financiero'!B23</f>
        <v>64.387500000000003</v>
      </c>
      <c r="E17" s="62">
        <f>(E4*'Modelo Financiero'!B13+E5*'Modelo Financiero'!B14+E6*'Modelo Financiero'!B15)*'Modelo Financiero'!B16*'Modelo Financiero'!B23</f>
        <v>73.418750000000003</v>
      </c>
      <c r="F17" s="62">
        <f>(F4*'Modelo Financiero'!B13+F5*'Modelo Financiero'!B14+F6*'Modelo Financiero'!B15)*'Modelo Financiero'!B16*'Modelo Financiero'!B23</f>
        <v>82.45</v>
      </c>
      <c r="G17" s="62">
        <f>(G4*'Modelo Financiero'!B13+G5*'Modelo Financiero'!B14+G6*'Modelo Financiero'!B15)*'Modelo Financiero'!B16*'Modelo Financiero'!B23</f>
        <v>93.181250000000006</v>
      </c>
      <c r="H17" s="62">
        <f>(H4*'Modelo Financiero'!B13+H5*'Modelo Financiero'!B14+H6*'Modelo Financiero'!B15)*'Modelo Financiero'!B16*'Modelo Financiero'!B23</f>
        <v>102.85000000000001</v>
      </c>
      <c r="I17" s="62">
        <f>(I4*'Modelo Financiero'!B13+I5*'Modelo Financiero'!B14+I6*'Modelo Financiero'!B15)*'Modelo Financiero'!B16*'Modelo Financiero'!B23</f>
        <v>112.83750000000001</v>
      </c>
      <c r="J17" s="62">
        <f>(J4*'Modelo Financiero'!B13+J5*'Modelo Financiero'!B14+J6*'Modelo Financiero'!B15)*'Modelo Financiero'!B16*'Modelo Financiero'!B23</f>
        <v>122.825</v>
      </c>
      <c r="K17" s="62">
        <f>(K4*'Modelo Financiero'!B13+K5*'Modelo Financiero'!B14+K6*'Modelo Financiero'!B15)*'Modelo Financiero'!B16*'Modelo Financiero'!B23</f>
        <v>132.8125</v>
      </c>
      <c r="L17" s="62">
        <f>(L4*'Modelo Financiero'!B13+L5*'Modelo Financiero'!B14+L6*'Modelo Financiero'!B15)*'Modelo Financiero'!B16*'Modelo Financiero'!B23</f>
        <v>144.5</v>
      </c>
      <c r="M17" s="62">
        <f>(M4*'Modelo Financiero'!B13+M5*'Modelo Financiero'!B14+M6*'Modelo Financiero'!B15)*'Modelo Financiero'!B16*'Modelo Financiero'!B23</f>
        <v>156.1875</v>
      </c>
      <c r="N17" s="62">
        <f t="shared" ref="N17:N21" si="5">SUM(B17:M17)</f>
        <v>1185.6437500000002</v>
      </c>
    </row>
    <row r="18" spans="1:14" ht="15" customHeight="1" x14ac:dyDescent="0.3">
      <c r="A18" s="43" t="s">
        <v>307</v>
      </c>
      <c r="B18" s="62">
        <f>(B4*'Modelo Financiero'!B13+B5*'Modelo Financiero'!B14+B6*'Modelo Financiero'!B15)*'Modelo Financiero'!B20*'Modelo Financiero'!B25</f>
        <v>21.6</v>
      </c>
      <c r="C18" s="62">
        <f>(C4*'Modelo Financiero'!B13+C5*'Modelo Financiero'!B14+C6*'Modelo Financiero'!B15)*'Modelo Financiero'!B20*'Modelo Financiero'!B25</f>
        <v>25.55</v>
      </c>
      <c r="D18" s="62">
        <f>(D4*'Modelo Financiero'!B13+D5*'Modelo Financiero'!B14+D6*'Modelo Financiero'!B15)*'Modelo Financiero'!B20*'Modelo Financiero'!B25</f>
        <v>30.3</v>
      </c>
      <c r="E18" s="62">
        <f>(E4*'Modelo Financiero'!B13+E5*'Modelo Financiero'!B14+E6*'Modelo Financiero'!B15)*'Modelo Financiero'!B20*'Modelo Financiero'!B25</f>
        <v>34.550000000000004</v>
      </c>
      <c r="F18" s="62">
        <f>(F4*'Modelo Financiero'!B13+F5*'Modelo Financiero'!B14+F6*'Modelo Financiero'!B15)*'Modelo Financiero'!B20*'Modelo Financiero'!B25</f>
        <v>38.800000000000004</v>
      </c>
      <c r="G18" s="62">
        <f>(G4*'Modelo Financiero'!B13+G5*'Modelo Financiero'!B14+G6*'Modelo Financiero'!B15)*'Modelo Financiero'!B20*'Modelo Financiero'!B25</f>
        <v>43.85</v>
      </c>
      <c r="H18" s="62">
        <f>(H4*'Modelo Financiero'!B13+H5*'Modelo Financiero'!B14+H6*'Modelo Financiero'!B15)*'Modelo Financiero'!B20*'Modelo Financiero'!B25</f>
        <v>48.4</v>
      </c>
      <c r="I18" s="62">
        <f>(I4*'Modelo Financiero'!B13+I5*'Modelo Financiero'!B14+I6*'Modelo Financiero'!B15)*'Modelo Financiero'!B20*'Modelo Financiero'!B25</f>
        <v>53.1</v>
      </c>
      <c r="J18" s="62">
        <f>(J4*'Modelo Financiero'!B13+J5*'Modelo Financiero'!B14+J6*'Modelo Financiero'!B15)*'Modelo Financiero'!B20*'Modelo Financiero'!B25</f>
        <v>57.800000000000004</v>
      </c>
      <c r="K18" s="62">
        <f>(K4*'Modelo Financiero'!B13+K5*'Modelo Financiero'!B14+K6*'Modelo Financiero'!B15)*'Modelo Financiero'!B20*'Modelo Financiero'!B25</f>
        <v>62.5</v>
      </c>
      <c r="L18" s="62">
        <f>(L4*'Modelo Financiero'!B13+L5*'Modelo Financiero'!B14+L6*'Modelo Financiero'!B15)*'Modelo Financiero'!B20*'Modelo Financiero'!B25</f>
        <v>68</v>
      </c>
      <c r="M18" s="62">
        <f>(M4*'Modelo Financiero'!B13+M5*'Modelo Financiero'!B14+M6*'Modelo Financiero'!B15)*'Modelo Financiero'!B20*'Modelo Financiero'!B25</f>
        <v>73.5</v>
      </c>
      <c r="N18" s="62">
        <f t="shared" si="5"/>
        <v>557.95000000000005</v>
      </c>
    </row>
    <row r="19" spans="1:14" ht="15" customHeight="1" x14ac:dyDescent="0.3">
      <c r="A19" s="43" t="s">
        <v>308</v>
      </c>
      <c r="B19" s="62">
        <f>'Modelo Financiero'!$B$26*B7</f>
        <v>128.79999999999998</v>
      </c>
      <c r="C19" s="62">
        <f>'Modelo Financiero'!$B$26*C7</f>
        <v>140.29999999999998</v>
      </c>
      <c r="D19" s="62">
        <f>'Modelo Financiero'!$B$26*D7</f>
        <v>152.94999999999999</v>
      </c>
      <c r="E19" s="62">
        <f>'Modelo Financiero'!$B$26*E7</f>
        <v>164.45</v>
      </c>
      <c r="F19" s="62">
        <f>'Modelo Financiero'!$B$26*F7</f>
        <v>175.95</v>
      </c>
      <c r="G19" s="62">
        <f>'Modelo Financiero'!$B$26*G7</f>
        <v>188.6</v>
      </c>
      <c r="H19" s="62">
        <f>'Modelo Financiero'!$B$26*H7</f>
        <v>200.1</v>
      </c>
      <c r="I19" s="62">
        <f>'Modelo Financiero'!$B$26*I7</f>
        <v>212.74999999999997</v>
      </c>
      <c r="J19" s="62">
        <f>'Modelo Financiero'!$B$26*J7</f>
        <v>225.39999999999998</v>
      </c>
      <c r="K19" s="62">
        <f>'Modelo Financiero'!$B$26*K7</f>
        <v>238.04999999999998</v>
      </c>
      <c r="L19" s="62">
        <f>'Modelo Financiero'!$B$26*L7</f>
        <v>251.85</v>
      </c>
      <c r="M19" s="62">
        <f>'Modelo Financiero'!$B$26*M7</f>
        <v>265.64999999999998</v>
      </c>
      <c r="N19" s="62">
        <f t="shared" si="5"/>
        <v>2344.8500000000004</v>
      </c>
    </row>
    <row r="20" spans="1:14" ht="15" customHeight="1" x14ac:dyDescent="0.3">
      <c r="A20" s="43" t="s">
        <v>309</v>
      </c>
      <c r="B20" s="62">
        <f>(B4*'Modelo Financiero'!B13+B5*'Modelo Financiero'!B14+B6*'Modelo Financiero'!B15)*('Modelo Financiero'!B17*'Modelo Financiero'!B27+'Modelo Financiero'!B18*'Modelo Financiero'!B28)/1000000</f>
        <v>0.51839999999999997</v>
      </c>
      <c r="C20" s="62">
        <f>(C4*'Modelo Financiero'!B13+C5*'Modelo Financiero'!B14+C6*'Modelo Financiero'!B15)*('Modelo Financiero'!B17*'Modelo Financiero'!B27+'Modelo Financiero'!B18*'Modelo Financiero'!B28)/1000000</f>
        <v>0.61319999999999997</v>
      </c>
      <c r="D20" s="62">
        <f>(D4*'Modelo Financiero'!B13+D5*'Modelo Financiero'!B14+D6*'Modelo Financiero'!B15)*('Modelo Financiero'!B17*'Modelo Financiero'!B27+'Modelo Financiero'!B18*'Modelo Financiero'!B28)/1000000</f>
        <v>0.72719999999999996</v>
      </c>
      <c r="E20" s="62">
        <f>(E4*'Modelo Financiero'!B13+E5*'Modelo Financiero'!B14+E6*'Modelo Financiero'!B15)*('Modelo Financiero'!B17*'Modelo Financiero'!B27+'Modelo Financiero'!B18*'Modelo Financiero'!B28)/1000000</f>
        <v>0.82920000000000005</v>
      </c>
      <c r="F20" s="62">
        <f>(F4*'Modelo Financiero'!B13+F5*'Modelo Financiero'!B14+F6*'Modelo Financiero'!B15)*('Modelo Financiero'!B17*'Modelo Financiero'!B27+'Modelo Financiero'!B18*'Modelo Financiero'!B28)/1000000</f>
        <v>0.93120000000000003</v>
      </c>
      <c r="G20" s="62">
        <f>(G4*'Modelo Financiero'!B13+G5*'Modelo Financiero'!B14+G6*'Modelo Financiero'!B15)*('Modelo Financiero'!B17*'Modelo Financiero'!B27+'Modelo Financiero'!B18*'Modelo Financiero'!B28)/1000000</f>
        <v>1.0524</v>
      </c>
      <c r="H20" s="62">
        <f>(H4*'Modelo Financiero'!B13+H5*'Modelo Financiero'!B14+H6*'Modelo Financiero'!B15)*('Modelo Financiero'!B17*'Modelo Financiero'!B27+'Modelo Financiero'!B18*'Modelo Financiero'!B28)/1000000</f>
        <v>1.1616</v>
      </c>
      <c r="I20" s="62">
        <f>(I4*'Modelo Financiero'!B13+I5*'Modelo Financiero'!B14+I6*'Modelo Financiero'!B15)*('Modelo Financiero'!B17*'Modelo Financiero'!B27+'Modelo Financiero'!B18*'Modelo Financiero'!B28)/1000000</f>
        <v>1.2744</v>
      </c>
      <c r="J20" s="62">
        <f>(J4*'Modelo Financiero'!B13+J5*'Modelo Financiero'!B14+J6*'Modelo Financiero'!B15)*('Modelo Financiero'!B17*'Modelo Financiero'!B27+'Modelo Financiero'!B18*'Modelo Financiero'!B28)/1000000</f>
        <v>1.3872</v>
      </c>
      <c r="K20" s="62">
        <f>(K4*'Modelo Financiero'!B13+K5*'Modelo Financiero'!B14+K6*'Modelo Financiero'!B15)*('Modelo Financiero'!B17*'Modelo Financiero'!B27+'Modelo Financiero'!B18*'Modelo Financiero'!B28)/1000000</f>
        <v>1.5</v>
      </c>
      <c r="L20" s="62">
        <f>(L4*'Modelo Financiero'!B13+L5*'Modelo Financiero'!B14+L6*'Modelo Financiero'!B15)*('Modelo Financiero'!B17*'Modelo Financiero'!B27+'Modelo Financiero'!B18*'Modelo Financiero'!B28)/1000000</f>
        <v>1.6319999999999999</v>
      </c>
      <c r="M20" s="62">
        <f>(M4*'Modelo Financiero'!B13+M5*'Modelo Financiero'!B14+M6*'Modelo Financiero'!B15)*('Modelo Financiero'!B17*'Modelo Financiero'!B27+'Modelo Financiero'!B18*'Modelo Financiero'!B28)/1000000</f>
        <v>1.764</v>
      </c>
      <c r="N20" s="62">
        <f t="shared" si="5"/>
        <v>13.390799999999999</v>
      </c>
    </row>
    <row r="21" spans="1:14" ht="15" customHeight="1" x14ac:dyDescent="0.3">
      <c r="A21" s="55" t="s">
        <v>310</v>
      </c>
      <c r="B21" s="63">
        <f>SUM(B17:B20)</f>
        <v>196.8184</v>
      </c>
      <c r="C21" s="63">
        <f>SUM(C17:C20)</f>
        <v>220.75694999999999</v>
      </c>
      <c r="D21" s="63">
        <f>SUM(D17:D20)</f>
        <v>248.3647</v>
      </c>
      <c r="E21" s="63">
        <f>SUM(E17:E20)</f>
        <v>273.24795</v>
      </c>
      <c r="F21" s="63">
        <f>SUM(F17:F20)</f>
        <v>298.13119999999998</v>
      </c>
      <c r="G21" s="63">
        <f>SUM(G17:G20)</f>
        <v>326.68365</v>
      </c>
      <c r="H21" s="63">
        <f>SUM(H17:H20)</f>
        <v>352.51160000000004</v>
      </c>
      <c r="I21" s="63">
        <f>SUM(I17:I20)</f>
        <v>379.96190000000001</v>
      </c>
      <c r="J21" s="63">
        <f>SUM(J17:J20)</f>
        <v>407.41219999999998</v>
      </c>
      <c r="K21" s="63">
        <f>SUM(K17:K20)</f>
        <v>434.86249999999995</v>
      </c>
      <c r="L21" s="63">
        <f>SUM(L17:L20)</f>
        <v>465.98200000000003</v>
      </c>
      <c r="M21" s="63">
        <f>SUM(M17:M20)</f>
        <v>497.10149999999999</v>
      </c>
      <c r="N21" s="63">
        <f t="shared" si="5"/>
        <v>4101.8345499999996</v>
      </c>
    </row>
    <row r="23" spans="1:14" ht="15" customHeight="1" x14ac:dyDescent="0.3">
      <c r="A23" s="50" t="s">
        <v>311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</row>
    <row r="24" spans="1:14" ht="15" customHeight="1" x14ac:dyDescent="0.3">
      <c r="A24" s="43" t="s">
        <v>312</v>
      </c>
      <c r="B24" s="62">
        <f>'Modelo Financiero'!B30</f>
        <v>5</v>
      </c>
      <c r="C24" s="62">
        <f>'Modelo Financiero'!B30</f>
        <v>5</v>
      </c>
      <c r="D24" s="62">
        <f>'Modelo Financiero'!B30</f>
        <v>5</v>
      </c>
      <c r="E24" s="62">
        <f>'Modelo Financiero'!B30</f>
        <v>5</v>
      </c>
      <c r="F24" s="62">
        <f>'Modelo Financiero'!B30</f>
        <v>5</v>
      </c>
      <c r="G24" s="62">
        <f>'Modelo Financiero'!B30</f>
        <v>5</v>
      </c>
      <c r="H24" s="62">
        <f>'Modelo Financiero'!B30</f>
        <v>5</v>
      </c>
      <c r="I24" s="62">
        <f>'Modelo Financiero'!B30</f>
        <v>5</v>
      </c>
      <c r="J24" s="62">
        <f>'Modelo Financiero'!B30</f>
        <v>5</v>
      </c>
      <c r="K24" s="62">
        <f>'Modelo Financiero'!B30</f>
        <v>5</v>
      </c>
      <c r="L24" s="62">
        <f>'Modelo Financiero'!B30</f>
        <v>5</v>
      </c>
      <c r="M24" s="62">
        <f>'Modelo Financiero'!B30</f>
        <v>5</v>
      </c>
      <c r="N24" s="62">
        <f>SUM(B24:M24)</f>
        <v>60</v>
      </c>
    </row>
    <row r="25" spans="1:14" ht="15" customHeight="1" x14ac:dyDescent="0.3">
      <c r="A25" s="43" t="s">
        <v>187</v>
      </c>
      <c r="B25" s="62">
        <f>'Modelo Financiero'!B31</f>
        <v>8.25</v>
      </c>
      <c r="C25" s="62">
        <f>'Modelo Financiero'!B31</f>
        <v>8.25</v>
      </c>
      <c r="D25" s="62">
        <f>'Modelo Financiero'!B31</f>
        <v>8.25</v>
      </c>
      <c r="E25" s="62">
        <f>'Modelo Financiero'!B31</f>
        <v>8.25</v>
      </c>
      <c r="F25" s="62">
        <f>'Modelo Financiero'!B31</f>
        <v>8.25</v>
      </c>
      <c r="G25" s="62">
        <f>'Modelo Financiero'!B31</f>
        <v>8.25</v>
      </c>
      <c r="H25" s="62">
        <f>'Modelo Financiero'!B31</f>
        <v>8.25</v>
      </c>
      <c r="I25" s="62">
        <f>'Modelo Financiero'!B31</f>
        <v>8.25</v>
      </c>
      <c r="J25" s="62">
        <f>'Modelo Financiero'!B31</f>
        <v>8.25</v>
      </c>
      <c r="K25" s="62">
        <f>'Modelo Financiero'!B31</f>
        <v>8.25</v>
      </c>
      <c r="L25" s="62">
        <f>'Modelo Financiero'!B31</f>
        <v>8.25</v>
      </c>
      <c r="M25" s="62">
        <f>'Modelo Financiero'!B31</f>
        <v>8.25</v>
      </c>
      <c r="N25" s="62">
        <f>SUM(B25:M25)</f>
        <v>99</v>
      </c>
    </row>
    <row r="26" spans="1:14" ht="15" customHeight="1" x14ac:dyDescent="0.3">
      <c r="A26" s="55" t="s">
        <v>313</v>
      </c>
      <c r="B26" s="63">
        <f t="shared" ref="B26:M26" si="6">B24+B25</f>
        <v>13.25</v>
      </c>
      <c r="C26" s="63">
        <f t="shared" si="6"/>
        <v>13.25</v>
      </c>
      <c r="D26" s="63">
        <f t="shared" si="6"/>
        <v>13.25</v>
      </c>
      <c r="E26" s="63">
        <f t="shared" si="6"/>
        <v>13.25</v>
      </c>
      <c r="F26" s="63">
        <f t="shared" si="6"/>
        <v>13.25</v>
      </c>
      <c r="G26" s="63">
        <f t="shared" si="6"/>
        <v>13.25</v>
      </c>
      <c r="H26" s="63">
        <f t="shared" si="6"/>
        <v>13.25</v>
      </c>
      <c r="I26" s="63">
        <f t="shared" si="6"/>
        <v>13.25</v>
      </c>
      <c r="J26" s="63">
        <f t="shared" si="6"/>
        <v>13.25</v>
      </c>
      <c r="K26" s="63">
        <f t="shared" si="6"/>
        <v>13.25</v>
      </c>
      <c r="L26" s="63">
        <f t="shared" si="6"/>
        <v>13.25</v>
      </c>
      <c r="M26" s="63">
        <f t="shared" si="6"/>
        <v>13.25</v>
      </c>
      <c r="N26" s="63">
        <f>SUM(B26:M26)</f>
        <v>159</v>
      </c>
    </row>
    <row r="28" spans="1:14" ht="15" customHeight="1" x14ac:dyDescent="0.3">
      <c r="A28" s="61" t="s">
        <v>314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</row>
    <row r="29" spans="1:14" ht="15" customHeight="1" x14ac:dyDescent="0.3">
      <c r="A29" s="55" t="s">
        <v>315</v>
      </c>
      <c r="B29" s="63">
        <f t="shared" ref="B29:M29" si="7">B21+B26</f>
        <v>210.0684</v>
      </c>
      <c r="C29" s="63">
        <f t="shared" si="7"/>
        <v>234.00694999999999</v>
      </c>
      <c r="D29" s="63">
        <f t="shared" si="7"/>
        <v>261.61469999999997</v>
      </c>
      <c r="E29" s="63">
        <f t="shared" si="7"/>
        <v>286.49795</v>
      </c>
      <c r="F29" s="63">
        <f t="shared" si="7"/>
        <v>311.38119999999998</v>
      </c>
      <c r="G29" s="63">
        <f t="shared" si="7"/>
        <v>339.93365</v>
      </c>
      <c r="H29" s="63">
        <f t="shared" si="7"/>
        <v>365.76160000000004</v>
      </c>
      <c r="I29" s="63">
        <f t="shared" si="7"/>
        <v>393.21190000000001</v>
      </c>
      <c r="J29" s="63">
        <f t="shared" si="7"/>
        <v>420.66219999999998</v>
      </c>
      <c r="K29" s="63">
        <f t="shared" si="7"/>
        <v>448.11249999999995</v>
      </c>
      <c r="L29" s="63">
        <f t="shared" si="7"/>
        <v>479.23200000000003</v>
      </c>
      <c r="M29" s="63">
        <f t="shared" si="7"/>
        <v>510.35149999999999</v>
      </c>
      <c r="N29" s="66">
        <f>SUM(B29:M29)</f>
        <v>4260.8345499999996</v>
      </c>
    </row>
    <row r="30" spans="1:14" ht="15" customHeight="1" x14ac:dyDescent="0.3">
      <c r="A30" s="55" t="s">
        <v>304</v>
      </c>
      <c r="B30" s="67">
        <f t="shared" ref="B30:M30" si="8">B14</f>
        <v>59.39800000000001</v>
      </c>
      <c r="C30" s="67">
        <f t="shared" si="8"/>
        <v>89.08850000000001</v>
      </c>
      <c r="D30" s="67">
        <f t="shared" si="8"/>
        <v>127.27050000000001</v>
      </c>
      <c r="E30" s="67">
        <f t="shared" si="8"/>
        <v>161.21100000000001</v>
      </c>
      <c r="F30" s="67">
        <f t="shared" si="8"/>
        <v>195.15150000000003</v>
      </c>
      <c r="G30" s="67">
        <f t="shared" si="8"/>
        <v>237.58349999999999</v>
      </c>
      <c r="H30" s="67">
        <f t="shared" si="8"/>
        <v>275.774</v>
      </c>
      <c r="I30" s="67">
        <f t="shared" si="8"/>
        <v>313.96449999999999</v>
      </c>
      <c r="J30" s="67">
        <f t="shared" si="8"/>
        <v>352.15500000000003</v>
      </c>
      <c r="K30" s="67">
        <f t="shared" si="8"/>
        <v>390.34550000000002</v>
      </c>
      <c r="L30" s="67">
        <f t="shared" si="8"/>
        <v>437.02750000000009</v>
      </c>
      <c r="M30" s="67">
        <f t="shared" si="8"/>
        <v>483.70950000000005</v>
      </c>
      <c r="N30" s="66">
        <f>SUM(B30:M30)</f>
        <v>3122.6790000000001</v>
      </c>
    </row>
    <row r="31" spans="1:14" ht="15.75" customHeight="1" x14ac:dyDescent="0.3">
      <c r="A31" s="68" t="s">
        <v>316</v>
      </c>
      <c r="B31" s="69">
        <f t="shared" ref="B31:M31" si="9">B30-B29</f>
        <v>-150.67039999999997</v>
      </c>
      <c r="C31" s="69">
        <f t="shared" si="9"/>
        <v>-144.91844999999998</v>
      </c>
      <c r="D31" s="69">
        <f t="shared" si="9"/>
        <v>-134.34419999999994</v>
      </c>
      <c r="E31" s="69">
        <f t="shared" si="9"/>
        <v>-125.28694999999999</v>
      </c>
      <c r="F31" s="69">
        <f t="shared" si="9"/>
        <v>-116.22969999999995</v>
      </c>
      <c r="G31" s="69">
        <f t="shared" si="9"/>
        <v>-102.35015000000001</v>
      </c>
      <c r="H31" s="69">
        <f t="shared" si="9"/>
        <v>-89.987600000000043</v>
      </c>
      <c r="I31" s="69">
        <f t="shared" si="9"/>
        <v>-79.247400000000027</v>
      </c>
      <c r="J31" s="69">
        <f t="shared" si="9"/>
        <v>-68.507199999999955</v>
      </c>
      <c r="K31" s="69">
        <f t="shared" si="9"/>
        <v>-57.766999999999939</v>
      </c>
      <c r="L31" s="69">
        <f t="shared" si="9"/>
        <v>-42.204499999999939</v>
      </c>
      <c r="M31" s="69">
        <f t="shared" si="9"/>
        <v>-26.641999999999939</v>
      </c>
      <c r="N31" s="69">
        <f>SUM(B31:M31)</f>
        <v>-1138.1555499999995</v>
      </c>
    </row>
    <row r="32" spans="1:14" ht="15" customHeight="1" x14ac:dyDescent="0.3">
      <c r="A32" s="55" t="s">
        <v>317</v>
      </c>
      <c r="B32" s="70">
        <f t="shared" ref="B32:N32" si="10">IF(B30=0,0,B31/B30)</f>
        <v>-2.5366241287585432</v>
      </c>
      <c r="C32" s="70">
        <f t="shared" si="10"/>
        <v>-1.6266796500109437</v>
      </c>
      <c r="D32" s="70">
        <f t="shared" si="10"/>
        <v>-1.0555800440793424</v>
      </c>
      <c r="E32" s="70">
        <f t="shared" si="10"/>
        <v>-0.77716129792632005</v>
      </c>
      <c r="F32" s="70">
        <f t="shared" si="10"/>
        <v>-0.5955870182909172</v>
      </c>
      <c r="G32" s="70">
        <f t="shared" si="10"/>
        <v>-0.4307965410055834</v>
      </c>
      <c r="H32" s="70">
        <f t="shared" si="10"/>
        <v>-0.32630922421983233</v>
      </c>
      <c r="I32" s="70">
        <f t="shared" si="10"/>
        <v>-0.25240879143979661</v>
      </c>
      <c r="J32" s="70">
        <f t="shared" si="10"/>
        <v>-0.19453706464482956</v>
      </c>
      <c r="K32" s="70">
        <f t="shared" si="10"/>
        <v>-0.14798940938220098</v>
      </c>
      <c r="L32" s="70">
        <f t="shared" si="10"/>
        <v>-9.6571726035546798E-2</v>
      </c>
      <c r="M32" s="70">
        <f t="shared" si="10"/>
        <v>-5.5078513033132361E-2</v>
      </c>
      <c r="N32" s="71">
        <f t="shared" si="10"/>
        <v>-0.36448048294429219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5252"/>
  </sheetPr>
  <dimension ref="A1:D25"/>
  <sheetViews>
    <sheetView zoomScaleNormal="100" workbookViewId="0"/>
  </sheetViews>
  <sheetFormatPr baseColWidth="10" defaultColWidth="8.6640625" defaultRowHeight="15" customHeight="1" x14ac:dyDescent="0.3"/>
  <cols>
    <col min="1" max="1" width="45" customWidth="1"/>
    <col min="2" max="2" width="18" customWidth="1"/>
    <col min="3" max="3" width="30" customWidth="1"/>
  </cols>
  <sheetData>
    <row r="1" spans="1:4" ht="15" customHeight="1" x14ac:dyDescent="0.3">
      <c r="A1" s="40" t="s">
        <v>318</v>
      </c>
      <c r="B1" s="41"/>
      <c r="C1" s="41"/>
      <c r="D1" s="41"/>
    </row>
    <row r="3" spans="1:4" ht="15" customHeight="1" x14ac:dyDescent="0.3">
      <c r="A3" s="55" t="s">
        <v>319</v>
      </c>
      <c r="B3" s="67">
        <f>'Proyección 12 Meses'!B26</f>
        <v>13.25</v>
      </c>
    </row>
    <row r="4" spans="1:4" ht="15" customHeight="1" x14ac:dyDescent="0.3">
      <c r="A4" s="45" t="s">
        <v>320</v>
      </c>
      <c r="B4" s="58">
        <f>'Proyección 12 Meses'!B4</f>
        <v>100</v>
      </c>
    </row>
    <row r="5" spans="1:4" ht="15" customHeight="1" x14ac:dyDescent="0.3">
      <c r="A5" s="43" t="s">
        <v>321</v>
      </c>
      <c r="B5" s="52">
        <v>4.99</v>
      </c>
    </row>
    <row r="6" spans="1:4" ht="15" customHeight="1" x14ac:dyDescent="0.3">
      <c r="A6" s="43" t="s">
        <v>322</v>
      </c>
      <c r="B6" s="52">
        <v>12.99</v>
      </c>
    </row>
    <row r="7" spans="1:4" ht="15" customHeight="1" x14ac:dyDescent="0.3">
      <c r="A7" s="43" t="s">
        <v>323</v>
      </c>
      <c r="B7" s="62">
        <f>B5*(1-0.15)</f>
        <v>4.2415000000000003</v>
      </c>
    </row>
    <row r="8" spans="1:4" ht="15" customHeight="1" x14ac:dyDescent="0.3">
      <c r="A8" s="43" t="s">
        <v>324</v>
      </c>
      <c r="B8" s="62">
        <f>B6*(1-0.15)</f>
        <v>11.041499999999999</v>
      </c>
    </row>
    <row r="10" spans="1:4" ht="15" customHeight="1" x14ac:dyDescent="0.3">
      <c r="A10" s="43" t="s">
        <v>325</v>
      </c>
      <c r="B10" s="72">
        <f>('Proyección 12 Meses'!B21-'Modelo Financiero'!B29)/(B4*15+B5*50+B6*80)</f>
        <v>6.878416466453903E-2</v>
      </c>
      <c r="C10" s="45" t="s">
        <v>326</v>
      </c>
    </row>
    <row r="12" spans="1:4" ht="17.25" customHeight="1" x14ac:dyDescent="0.3">
      <c r="A12" s="73" t="s">
        <v>327</v>
      </c>
      <c r="B12" s="74">
        <f>IF(B7=0,0,CEILING(B3/B7,1))</f>
        <v>4</v>
      </c>
      <c r="C12" s="45" t="s">
        <v>328</v>
      </c>
    </row>
    <row r="14" spans="1:4" ht="17.25" customHeight="1" x14ac:dyDescent="0.3">
      <c r="A14" s="73" t="s">
        <v>329</v>
      </c>
      <c r="B14" s="74">
        <f>IF(B8=0,0,CEILING(B3/B8,1))</f>
        <v>2</v>
      </c>
      <c r="C14" s="45" t="s">
        <v>328</v>
      </c>
    </row>
    <row r="17" spans="1:3" ht="15.6" x14ac:dyDescent="0.3">
      <c r="A17" s="15" t="s">
        <v>330</v>
      </c>
    </row>
    <row r="18" spans="1:3" ht="14.4" x14ac:dyDescent="0.3">
      <c r="A18" t="s">
        <v>331</v>
      </c>
      <c r="B18" s="75">
        <f>5+5+30+0.83+1.15</f>
        <v>41.98</v>
      </c>
      <c r="C18" t="s">
        <v>332</v>
      </c>
    </row>
    <row r="19" spans="1:3" ht="14.4" x14ac:dyDescent="0.3">
      <c r="A19" t="s">
        <v>333</v>
      </c>
      <c r="B19" s="66">
        <f>4.99*(1-0.0416)</f>
        <v>4.7824160000000004</v>
      </c>
    </row>
    <row r="20" spans="1:3" ht="14.4" x14ac:dyDescent="0.3">
      <c r="A20" t="s">
        <v>334</v>
      </c>
      <c r="B20" s="66">
        <f>12.99*(1-0.0416)</f>
        <v>12.449616000000001</v>
      </c>
    </row>
    <row r="21" spans="1:3" ht="14.4" x14ac:dyDescent="0.3">
      <c r="A21" t="s">
        <v>335</v>
      </c>
      <c r="B21">
        <f>ROUNDUP(B18/B19,0)</f>
        <v>9</v>
      </c>
      <c r="C21" t="s">
        <v>336</v>
      </c>
    </row>
    <row r="22" spans="1:3" ht="14.4" x14ac:dyDescent="0.3">
      <c r="A22" t="s">
        <v>337</v>
      </c>
      <c r="B22">
        <f>ROUNDUP(B18/B20,0)</f>
        <v>4</v>
      </c>
      <c r="C22" t="s">
        <v>338</v>
      </c>
    </row>
    <row r="24" spans="1:3" ht="14.4" x14ac:dyDescent="0.3">
      <c r="A24" s="76" t="s">
        <v>339</v>
      </c>
    </row>
    <row r="25" spans="1:3" ht="14.4" x14ac:dyDescent="0.3">
      <c r="A25" t="s">
        <v>340</v>
      </c>
      <c r="B25" s="66">
        <f>((4.99*0.15-4.99*0.0416)*50+(12.99*0.15-12.99*0.0416)*10)*12</f>
        <v>493.52352000000008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Cuentas &amp; Servicios</vt:lpstr>
      <vt:lpstr>Base de Datos</vt:lpstr>
      <vt:lpstr>Costos Operacionales</vt:lpstr>
      <vt:lpstr>Modelo Financiero</vt:lpstr>
      <vt:lpstr>Proyección 12 Meses</vt:lpstr>
      <vt:lpstr>Break-Even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Roco</cp:lastModifiedBy>
  <cp:revision>0</cp:revision>
  <dcterms:created xsi:type="dcterms:W3CDTF">2026-03-12T13:42:43Z</dcterms:created>
  <dcterms:modified xsi:type="dcterms:W3CDTF">2026-03-13T13:23:17Z</dcterms:modified>
  <dc:language>en-US</dc:language>
</cp:coreProperties>
</file>