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uentas &amp; Servicios" sheetId="1" state="visible" r:id="rId3"/>
    <sheet name="Modelo Financiero" sheetId="2" state="visible" r:id="rId4"/>
    <sheet name="Proyección 12 Meses" sheetId="3" state="visible" r:id="rId5"/>
    <sheet name="Break-Eve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<sst xmlns="http://schemas.openxmlformats.org/spreadsheetml/2006/main" count="205" uniqueCount="182">
  <si>
    <t xml:space="preserve">Servicio</t>
  </si>
  <si>
    <t xml:space="preserve">Tipo</t>
  </si>
  <si>
    <t xml:space="preserve">Uso en FiltroLlamadas</t>
  </si>
  <si>
    <t xml:space="preserve">Modelo de Cobro</t>
  </si>
  <si>
    <t xml:space="preserve">Costo Base (USD/mes)</t>
  </si>
  <si>
    <t xml:space="preserve">Variable</t>
  </si>
  <si>
    <t xml:space="preserve">Credenciales / Env Var</t>
  </si>
  <si>
    <t xml:space="preserve">URL Consola</t>
  </si>
  <si>
    <t xml:space="preserve">Estado</t>
  </si>
  <si>
    <t xml:space="preserve">Twilio</t>
  </si>
  <si>
    <t xml:space="preserve">Telefonía + WhatsApp</t>
  </si>
  <si>
    <t xml:space="preserve">Voz entrante, TTS Polly, WhatsApp msgs</t>
  </si>
  <si>
    <t xml:space="preserve">Pay-per-use</t>
  </si>
  <si>
    <t xml:space="preserve">~$0.02/min voz + $0.005/msg WA + $1.15/num</t>
  </si>
  <si>
    <t xml:space="preserve">TWILIO_ACCOUNT_SID, TWILIO_AUTH_TOKEN, TWILIO_WHATSAPP_NUMBER</t>
  </si>
  <si>
    <t xml:space="preserve">https://console.twilio.com</t>
  </si>
  <si>
    <t xml:space="preserve">Activo</t>
  </si>
  <si>
    <t xml:space="preserve">OpenAI</t>
  </si>
  <si>
    <t xml:space="preserve">LLM (GPT-4o-mini)</t>
  </si>
  <si>
    <t xml:space="preserve">Conversación IA + análisis post-llamada</t>
  </si>
  <si>
    <t xml:space="preserve">Pay-per-token</t>
  </si>
  <si>
    <t xml:space="preserve">$0.15/1M input + $0.60/1M output tokens</t>
  </si>
  <si>
    <t xml:space="preserve">OPENAI_API_KEY</t>
  </si>
  <si>
    <t xml:space="preserve">https://platform.openai.com</t>
  </si>
  <si>
    <t xml:space="preserve">ElevenLabs</t>
  </si>
  <si>
    <t xml:space="preserve">TTS Premium</t>
  </si>
  <si>
    <t xml:space="preserve">Voces ultra-realistas (Pro/Premium)</t>
  </si>
  <si>
    <t xml:space="preserve">Suscripción + uso</t>
  </si>
  <si>
    <t xml:space="preserve">$5/mes Starter (30K chars) o $0.18/1K chars</t>
  </si>
  <si>
    <t xml:space="preserve">ELEVENLABS_API_KEY, ELEVENLABS_VOICE_ID</t>
  </si>
  <si>
    <t xml:space="preserve">https://elevenlabs.io</t>
  </si>
  <si>
    <t xml:space="preserve">Railway</t>
  </si>
  <si>
    <t xml:space="preserve">Hosting Backend</t>
  </si>
  <si>
    <t xml:space="preserve">FastAPI + PostgreSQL en producción</t>
  </si>
  <si>
    <t xml:space="preserve">$5/mes Hobby (incluye $5 crédito uso)</t>
  </si>
  <si>
    <t xml:space="preserve">DATABASE_URL, BASE_URL</t>
  </si>
  <si>
    <t xml:space="preserve">https://railway.app/dashboard</t>
  </si>
  <si>
    <t xml:space="preserve">Railway PostgreSQL</t>
  </si>
  <si>
    <t xml:space="preserve">Base de Datos</t>
  </si>
  <si>
    <t xml:space="preserve">Incluido en Railway (mismo proyecto)</t>
  </si>
  <si>
    <t xml:space="preserve">Incluido</t>
  </si>
  <si>
    <t xml:space="preserve">Incluido en los $5 de Railway</t>
  </si>
  <si>
    <t xml:space="preserve">DATABASE_URL</t>
  </si>
  <si>
    <t xml:space="preserve">Google Cloud</t>
  </si>
  <si>
    <t xml:space="preserve">OAuth2 Calendar API</t>
  </si>
  <si>
    <t xml:space="preserve">Integración Google Calendar (Pro)</t>
  </si>
  <si>
    <t xml:space="preserve">Gratis</t>
  </si>
  <si>
    <t xml:space="preserve">Gratis hasta millones de requests</t>
  </si>
  <si>
    <t xml:space="preserve">GOOGLE_CLIENT_ID, GOOGLE_CLIENT_SECRET</t>
  </si>
  <si>
    <t xml:space="preserve">https://console.cloud.google.com</t>
  </si>
  <si>
    <t xml:space="preserve">Microsoft Azure AD</t>
  </si>
  <si>
    <t xml:space="preserve">Integración Outlook Calendar (Pro)</t>
  </si>
  <si>
    <t xml:space="preserve">Gratis tier básico</t>
  </si>
  <si>
    <t xml:space="preserve">OUTLOOK_CLIENT_ID, OUTLOOK_CLIENT_SECRET</t>
  </si>
  <si>
    <t xml:space="preserve">https://portal.azure.com</t>
  </si>
  <si>
    <t xml:space="preserve">Pendiente</t>
  </si>
  <si>
    <t xml:space="preserve">Apple Developer</t>
  </si>
  <si>
    <t xml:space="preserve">App Store</t>
  </si>
  <si>
    <t xml:space="preserve">Publicación iOS + In-App Purchases</t>
  </si>
  <si>
    <t xml:space="preserve">Anual</t>
  </si>
  <si>
    <t xml:space="preserve">$99/año = $8.25/mes</t>
  </si>
  <si>
    <t xml:space="preserve">Apple Developer Account</t>
  </si>
  <si>
    <t xml:space="preserve">https://developer.apple.com</t>
  </si>
  <si>
    <t xml:space="preserve">Apple App Store</t>
  </si>
  <si>
    <t xml:space="preserve">Comisión ventas</t>
  </si>
  <si>
    <t xml:space="preserve">15% de cada suscripción (Small Business)</t>
  </si>
  <si>
    <t xml:space="preserve">% ventas</t>
  </si>
  <si>
    <t xml:space="preserve">15% de revenue (&lt; $1M USD/año)</t>
  </si>
  <si>
    <t xml:space="preserve">N/A</t>
  </si>
  <si>
    <t xml:space="preserve">https://appstoreconnect.apple.com</t>
  </si>
  <si>
    <t xml:space="preserve">GitHub</t>
  </si>
  <si>
    <t xml:space="preserve">Repositorio</t>
  </si>
  <si>
    <t xml:space="preserve">Código fuente del proyecto</t>
  </si>
  <si>
    <t xml:space="preserve">Gratis (repo privado)</t>
  </si>
  <si>
    <t xml:space="preserve">https://github.com</t>
  </si>
  <si>
    <t xml:space="preserve">RevenueCat (recomendado)</t>
  </si>
  <si>
    <t xml:space="preserve">Gestión suscripciones</t>
  </si>
  <si>
    <t xml:space="preserve">Manejo IAP Apple/Google, analytics</t>
  </si>
  <si>
    <t xml:space="preserve">Gratis hasta $2.5K</t>
  </si>
  <si>
    <t xml:space="preserve">Gratis &lt; $2,500 MRR, luego 1%</t>
  </si>
  <si>
    <t xml:space="preserve">https://revenuecat.com</t>
  </si>
  <si>
    <t xml:space="preserve">TOTAL COSTO BASE MENSUAL</t>
  </si>
  <si>
    <t xml:space="preserve">SUPUESTOS DEL MODELO</t>
  </si>
  <si>
    <t xml:space="preserve">Supuestos de Usuarios</t>
  </si>
  <si>
    <t xml:space="preserve">Usuarios Free</t>
  </si>
  <si>
    <t xml:space="preserve">Supuesto mes 1</t>
  </si>
  <si>
    <t xml:space="preserve">Usuarios Pro ($4.99/mes)</t>
  </si>
  <si>
    <t xml:space="preserve">Usuarios Premium ($12.99/mes)</t>
  </si>
  <si>
    <t xml:space="preserve">Crecimiento mensual usuarios</t>
  </si>
  <si>
    <t xml:space="preserve">15% mes a mes</t>
  </si>
  <si>
    <t xml:space="preserve">Conversión Free → Pro</t>
  </si>
  <si>
    <t xml:space="preserve">8% de free se convierten</t>
  </si>
  <si>
    <t xml:space="preserve">Conversión Pro → Premium</t>
  </si>
  <si>
    <t xml:space="preserve">5% de pro suben</t>
  </si>
  <si>
    <t xml:space="preserve">Churn mensual</t>
  </si>
  <si>
    <t xml:space="preserve">4% se van cada mes</t>
  </si>
  <si>
    <t xml:space="preserve">Supuestos de Uso por Usuario/Mes</t>
  </si>
  <si>
    <t xml:space="preserve">Llamadas promedio (Free)</t>
  </si>
  <si>
    <t xml:space="preserve">de 30 max</t>
  </si>
  <si>
    <t xml:space="preserve">Llamadas promedio (Pro)</t>
  </si>
  <si>
    <t xml:space="preserve">de 200 max</t>
  </si>
  <si>
    <t xml:space="preserve">Llamadas promedio (Premium)</t>
  </si>
  <si>
    <t xml:space="preserve">ilimitado</t>
  </si>
  <si>
    <t xml:space="preserve">Duración promedio llamada (min)</t>
  </si>
  <si>
    <t xml:space="preserve">Tokens input promedio/llamada</t>
  </si>
  <si>
    <t xml:space="preserve">prompt + conversación</t>
  </si>
  <si>
    <t xml:space="preserve">Tokens output promedio/llamada</t>
  </si>
  <si>
    <t xml:space="preserve">respuesta IA</t>
  </si>
  <si>
    <t xml:space="preserve">Chars TTS ElevenLabs/llamada</t>
  </si>
  <si>
    <t xml:space="preserve">solo Pro/Premium</t>
  </si>
  <si>
    <t xml:space="preserve">WhatsApp msgs/llamada</t>
  </si>
  <si>
    <t xml:space="preserve">alerta + resumen</t>
  </si>
  <si>
    <t xml:space="preserve">Costos Unitarios</t>
  </si>
  <si>
    <t xml:space="preserve">Twilio: voz recibir (USD/min)</t>
  </si>
  <si>
    <t xml:space="preserve">Source: twilio.com/voice/pricing</t>
  </si>
  <si>
    <t xml:space="preserve">Twilio: voz hacer (USD/min)</t>
  </si>
  <si>
    <t xml:space="preserve">Twilio: WhatsApp (USD/msg)</t>
  </si>
  <si>
    <t xml:space="preserve">Source: twilio.com/whatsapp/pricing</t>
  </si>
  <si>
    <t xml:space="preserve">Twilio: número teléfono (USD/mes)</t>
  </si>
  <si>
    <t xml:space="preserve">Source: twilio.com/pricing</t>
  </si>
  <si>
    <t xml:space="preserve">OpenAI: input (USD/1M tokens)</t>
  </si>
  <si>
    <t xml:space="preserve">Source: openai.com/api/pricing</t>
  </si>
  <si>
    <t xml:space="preserve">OpenAI: output (USD/1M tokens)</t>
  </si>
  <si>
    <t xml:space="preserve">ElevenLabs: suscripción (USD/mes)</t>
  </si>
  <si>
    <t xml:space="preserve">Starter plan</t>
  </si>
  <si>
    <t xml:space="preserve">Railway: hosting (USD/mes)</t>
  </si>
  <si>
    <t xml:space="preserve">Hobby plan</t>
  </si>
  <si>
    <t xml:space="preserve">Apple Developer (USD/mes)</t>
  </si>
  <si>
    <t xml:space="preserve">$99/año prorrateado</t>
  </si>
  <si>
    <t xml:space="preserve">Apple comisión (%)</t>
  </si>
  <si>
    <t xml:space="preserve">Small Business Program</t>
  </si>
  <si>
    <t xml:space="preserve">PROYECCIÓN FINANCIERA 12 MESES</t>
  </si>
  <si>
    <t xml:space="preserve">Mes 1</t>
  </si>
  <si>
    <t xml:space="preserve">Mes 2</t>
  </si>
  <si>
    <t xml:space="preserve">Mes 3</t>
  </si>
  <si>
    <t xml:space="preserve">Mes 4</t>
  </si>
  <si>
    <t xml:space="preserve">Mes 5</t>
  </si>
  <si>
    <t xml:space="preserve">Mes 6</t>
  </si>
  <si>
    <t xml:space="preserve">Mes 7</t>
  </si>
  <si>
    <t xml:space="preserve">Mes 8</t>
  </si>
  <si>
    <t xml:space="preserve">Mes 9</t>
  </si>
  <si>
    <t xml:space="preserve">Mes 10</t>
  </si>
  <si>
    <t xml:space="preserve">Mes 11</t>
  </si>
  <si>
    <t xml:space="preserve">Mes 12</t>
  </si>
  <si>
    <t xml:space="preserve">TOTAL AÑO</t>
  </si>
  <si>
    <t xml:space="preserve">USUARIOS</t>
  </si>
  <si>
    <t xml:space="preserve">Usuarios Pro</t>
  </si>
  <si>
    <t xml:space="preserve">Usuarios Premium</t>
  </si>
  <si>
    <t xml:space="preserve">Total Usuarios</t>
  </si>
  <si>
    <t xml:space="preserve">REVENUE (antes de Apple)</t>
  </si>
  <si>
    <t xml:space="preserve">Revenue Pro (bruto)</t>
  </si>
  <si>
    <t xml:space="preserve">Revenue Premium (bruto)</t>
  </si>
  <si>
    <t xml:space="preserve">Revenue Bruto Total</t>
  </si>
  <si>
    <t xml:space="preserve">Comisión Apple (15%)</t>
  </si>
  <si>
    <t xml:space="preserve">Revenue Neto</t>
  </si>
  <si>
    <t xml:space="preserve">COSTOS VARIABLES</t>
  </si>
  <si>
    <t xml:space="preserve">Twilio: Voz (llamadas)</t>
  </si>
  <si>
    <t xml:space="preserve">Twilio: WhatsApp</t>
  </si>
  <si>
    <t xml:space="preserve">Twilio: Números telefónicos</t>
  </si>
  <si>
    <t xml:space="preserve">OpenAI: GPT-4o-mini</t>
  </si>
  <si>
    <t xml:space="preserve">ElevenLabs: TTS</t>
  </si>
  <si>
    <t xml:space="preserve">Total Costos Variables</t>
  </si>
  <si>
    <t xml:space="preserve">COSTOS FIJOS</t>
  </si>
  <si>
    <t xml:space="preserve">Railway Hosting</t>
  </si>
  <si>
    <t xml:space="preserve">Apple Developer Program</t>
  </si>
  <si>
    <t xml:space="preserve">Total Costos Fijos</t>
  </si>
  <si>
    <t xml:space="preserve">RESULTADO</t>
  </si>
  <si>
    <t xml:space="preserve">Costo Total</t>
  </si>
  <si>
    <t xml:space="preserve">UTILIDAD / PÉRDIDA</t>
  </si>
  <si>
    <t xml:space="preserve">Margen (%)</t>
  </si>
  <si>
    <t xml:space="preserve">ANÁLISIS BREAK-EVEN</t>
  </si>
  <si>
    <t xml:space="preserve">Costos fijos mensuales</t>
  </si>
  <si>
    <t xml:space="preserve">Usuarios Free mes 1</t>
  </si>
  <si>
    <t xml:space="preserve">Revenue promedio por usuario Pro</t>
  </si>
  <si>
    <t xml:space="preserve">Revenue promedio por usuario Premium</t>
  </si>
  <si>
    <t xml:space="preserve">Revenue neto por Pro (después Apple 15%)</t>
  </si>
  <si>
    <t xml:space="preserve">Revenue neto por Premium (después Apple 15%)</t>
  </si>
  <si>
    <t xml:space="preserve">Costo variable por llamada (estimado)</t>
  </si>
  <si>
    <t xml:space="preserve">Excluye ElevenLabs fijo</t>
  </si>
  <si>
    <t xml:space="preserve">BREAK-EVEN: Suscriptores Pro necesarios</t>
  </si>
  <si>
    <t xml:space="preserve">solo para cubrir costos fijos</t>
  </si>
  <si>
    <t xml:space="preserve">BREAK-EVEN: Suscriptores Premium necesarios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</si>
</sst>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.00"/>
    <numFmt numFmtId="166" formatCode="#,##0"/>
    <numFmt numFmtId="167" formatCode="0.0%"/>
    <numFmt numFmtId="168" formatCode="0.0"/>
    <numFmt numFmtId="169" formatCode="\$0.0000"/>
    <numFmt numFmtId="170" formatCode="\$0.0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11"/>
      <color rgb="FF0F0F23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8000"/>
      <name val="Arial"/>
      <family val="0"/>
      <charset val="1"/>
    </font>
    <font>
      <sz val="11"/>
      <color rgb="FFFF0000"/>
      <name val="Arial"/>
      <family val="0"/>
      <charset val="1"/>
    </font>
    <font>
      <b val="true"/>
      <sz val="13"/>
      <color rgb="FF000000"/>
      <name val="Arial"/>
      <family val="0"/>
      <charset val="1"/>
    </font>
    <font>
      <b val="true"/>
      <sz val="13"/>
      <color rgb="FFFF0000"/>
      <name val="Arial"/>
      <family val="0"/>
      <charset val="1"/>
    </font>
    <font>
      <b val="true"/>
      <sz val="14"/>
      <color rgb="FFFF000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6C63FF"/>
        <bgColor rgb="FF9999FF"/>
      </patternFill>
    </fill>
    <fill>
      <patternFill patternType="solid">
        <fgColor rgb="FFE8F5E9"/>
        <bgColor rgb="FFE3F2FD"/>
      </patternFill>
    </fill>
    <fill>
      <patternFill patternType="solid">
        <fgColor rgb="FFFFFDE7"/>
        <bgColor rgb="FFFFFFFF"/>
      </patternFill>
    </fill>
    <fill>
      <patternFill patternType="solid">
        <fgColor rgb="FF0F0F23"/>
        <bgColor rgb="FF000000"/>
      </patternFill>
    </fill>
    <fill>
      <patternFill patternType="solid">
        <fgColor rgb="FFEEEDFF"/>
        <bgColor rgb="FFE3F2FD"/>
      </patternFill>
    </fill>
    <fill>
      <patternFill patternType="solid">
        <fgColor rgb="FFFFFF00"/>
        <bgColor rgb="FFFFFF00"/>
      </patternFill>
    </fill>
    <fill>
      <patternFill patternType="solid">
        <fgColor rgb="FFE3F2FD"/>
        <bgColor rgb="FFEEEDFF"/>
      </patternFill>
    </fill>
    <fill>
      <patternFill patternType="solid">
        <fgColor rgb="FFFDE8E8"/>
        <bgColor rgb="FFEEED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CCCCC"/>
      </bottom>
      <diagonal/>
    </border>
    <border diagonalUp="false" diagonalDown="false">
      <left/>
      <right/>
      <top/>
      <bottom style="medium">
        <color rgb="FF33333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E676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DE7"/>
      <rgbColor rgb="FFE3F2F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EEEDFF"/>
      <rgbColor rgb="FFFDE8E8"/>
      <rgbColor rgb="FF99CCFF"/>
      <rgbColor rgb="FFFF99CC"/>
      <rgbColor rgb="FFCC99FF"/>
      <rgbColor rgb="FFFFCC99"/>
      <rgbColor rgb="FF6C63FF"/>
      <rgbColor rgb="FF33CCCC"/>
      <rgbColor rgb="FF99CC00"/>
      <rgbColor rgb="FFFFCC00"/>
      <rgbColor rgb="FFFF9100"/>
      <rgbColor rgb="FFFF5252"/>
      <rgbColor rgb="FF666666"/>
      <rgbColor rgb="FF969696"/>
      <rgbColor rgb="FF003366"/>
      <rgbColor rgb="FF339966"/>
      <rgbColor rgb="FF0F0F23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C63FF"/>
    <pageSetUpPr fitToPage="false"/>
  </sheetPr>
  <dimension ref="A1:I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0"/>
    <col collapsed="false" customWidth="true" hidden="false" outlineLevel="0" max="3" min="3" style="0" width="42"/>
    <col collapsed="false" customWidth="true" hidden="false" outlineLevel="0" max="5" min="4" style="0" width="18"/>
    <col collapsed="false" customWidth="true" hidden="false" outlineLevel="0" max="7" min="6" style="0" width="45"/>
    <col collapsed="false" customWidth="true" hidden="false" outlineLevel="0" max="8" min="8" style="0" width="38"/>
    <col collapsed="false" customWidth="true" hidden="false" outlineLevel="0" max="9" min="9" style="0" width="12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s">
        <v>9</v>
      </c>
      <c r="B2" s="2" t="s">
        <v>10</v>
      </c>
      <c r="C2" s="2" t="s">
        <v>11</v>
      </c>
      <c r="D2" s="2" t="s">
        <v>12</v>
      </c>
      <c r="E2" s="3" t="n">
        <v>0</v>
      </c>
      <c r="F2" s="2" t="s">
        <v>13</v>
      </c>
      <c r="G2" s="2" t="s">
        <v>14</v>
      </c>
      <c r="H2" s="2" t="s">
        <v>15</v>
      </c>
      <c r="I2" s="4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19</v>
      </c>
      <c r="D3" s="2" t="s">
        <v>20</v>
      </c>
      <c r="E3" s="3" t="n">
        <v>0</v>
      </c>
      <c r="F3" s="2" t="s">
        <v>21</v>
      </c>
      <c r="G3" s="2" t="s">
        <v>22</v>
      </c>
      <c r="H3" s="2" t="s">
        <v>23</v>
      </c>
      <c r="I3" s="4" t="s">
        <v>16</v>
      </c>
    </row>
    <row r="4" customFormat="false" ht="15" hidden="false" customHeight="false" outlineLevel="0" collapsed="false">
      <c r="A4" s="2" t="s">
        <v>24</v>
      </c>
      <c r="B4" s="2" t="s">
        <v>25</v>
      </c>
      <c r="C4" s="2" t="s">
        <v>26</v>
      </c>
      <c r="D4" s="2" t="s">
        <v>27</v>
      </c>
      <c r="E4" s="3" t="n">
        <v>5</v>
      </c>
      <c r="F4" s="2" t="s">
        <v>28</v>
      </c>
      <c r="G4" s="2" t="s">
        <v>29</v>
      </c>
      <c r="H4" s="2" t="s">
        <v>30</v>
      </c>
      <c r="I4" s="4" t="s">
        <v>16</v>
      </c>
    </row>
    <row r="5" customFormat="false" ht="15" hidden="false" customHeight="false" outlineLevel="0" collapsed="false">
      <c r="A5" s="2" t="s">
        <v>31</v>
      </c>
      <c r="B5" s="2" t="s">
        <v>32</v>
      </c>
      <c r="C5" s="2" t="s">
        <v>33</v>
      </c>
      <c r="D5" s="2" t="s">
        <v>27</v>
      </c>
      <c r="E5" s="3" t="n">
        <v>5</v>
      </c>
      <c r="F5" s="2" t="s">
        <v>34</v>
      </c>
      <c r="G5" s="2" t="s">
        <v>35</v>
      </c>
      <c r="H5" s="2" t="s">
        <v>36</v>
      </c>
      <c r="I5" s="4" t="s">
        <v>16</v>
      </c>
    </row>
    <row r="6" customFormat="false" ht="15" hidden="false" customHeight="false" outlineLevel="0" collapsed="false">
      <c r="A6" s="2" t="s">
        <v>37</v>
      </c>
      <c r="B6" s="2" t="s">
        <v>38</v>
      </c>
      <c r="C6" s="2" t="s">
        <v>39</v>
      </c>
      <c r="D6" s="2" t="s">
        <v>40</v>
      </c>
      <c r="E6" s="3" t="n">
        <v>0</v>
      </c>
      <c r="F6" s="2" t="s">
        <v>41</v>
      </c>
      <c r="G6" s="2" t="s">
        <v>42</v>
      </c>
      <c r="H6" s="2" t="s">
        <v>36</v>
      </c>
      <c r="I6" s="4" t="s">
        <v>16</v>
      </c>
    </row>
    <row r="7" customFormat="false" ht="15" hidden="false" customHeight="false" outlineLevel="0" collapsed="false">
      <c r="A7" s="2" t="s">
        <v>43</v>
      </c>
      <c r="B7" s="2" t="s">
        <v>44</v>
      </c>
      <c r="C7" s="2" t="s">
        <v>45</v>
      </c>
      <c r="D7" s="2" t="s">
        <v>46</v>
      </c>
      <c r="E7" s="3" t="n">
        <v>0</v>
      </c>
      <c r="F7" s="2" t="s">
        <v>47</v>
      </c>
      <c r="G7" s="2" t="s">
        <v>48</v>
      </c>
      <c r="H7" s="2" t="s">
        <v>49</v>
      </c>
      <c r="I7" s="4" t="s">
        <v>16</v>
      </c>
    </row>
    <row r="8" customFormat="false" ht="15" hidden="false" customHeight="false" outlineLevel="0" collapsed="false">
      <c r="A8" s="2" t="s">
        <v>50</v>
      </c>
      <c r="B8" s="2" t="s">
        <v>44</v>
      </c>
      <c r="C8" s="2" t="s">
        <v>51</v>
      </c>
      <c r="D8" s="2" t="s">
        <v>46</v>
      </c>
      <c r="E8" s="3" t="n">
        <v>0</v>
      </c>
      <c r="F8" s="2" t="s">
        <v>52</v>
      </c>
      <c r="G8" s="2" t="s">
        <v>53</v>
      </c>
      <c r="H8" s="2" t="s">
        <v>54</v>
      </c>
      <c r="I8" s="5" t="s">
        <v>55</v>
      </c>
    </row>
    <row r="9" customFormat="false" ht="15" hidden="false" customHeight="false" outlineLevel="0" collapsed="false">
      <c r="A9" s="2" t="s">
        <v>56</v>
      </c>
      <c r="B9" s="2" t="s">
        <v>57</v>
      </c>
      <c r="C9" s="2" t="s">
        <v>58</v>
      </c>
      <c r="D9" s="2" t="s">
        <v>59</v>
      </c>
      <c r="E9" s="3" t="n">
        <v>8.25</v>
      </c>
      <c r="F9" s="2" t="s">
        <v>60</v>
      </c>
      <c r="G9" s="2" t="s">
        <v>61</v>
      </c>
      <c r="H9" s="2" t="s">
        <v>62</v>
      </c>
      <c r="I9" s="5" t="s">
        <v>55</v>
      </c>
    </row>
    <row r="10" customFormat="false" ht="15" hidden="false" customHeight="false" outlineLevel="0" collapsed="false">
      <c r="A10" s="2" t="s">
        <v>63</v>
      </c>
      <c r="B10" s="2" t="s">
        <v>64</v>
      </c>
      <c r="C10" s="2" t="s">
        <v>65</v>
      </c>
      <c r="D10" s="2" t="s">
        <v>66</v>
      </c>
      <c r="E10" s="3" t="n">
        <v>0</v>
      </c>
      <c r="F10" s="2" t="s">
        <v>67</v>
      </c>
      <c r="G10" s="2" t="s">
        <v>68</v>
      </c>
      <c r="H10" s="2" t="s">
        <v>69</v>
      </c>
      <c r="I10" s="5" t="s">
        <v>55</v>
      </c>
    </row>
    <row r="11" customFormat="false" ht="15" hidden="false" customHeight="false" outlineLevel="0" collapsed="false">
      <c r="A11" s="2" t="s">
        <v>70</v>
      </c>
      <c r="B11" s="2" t="s">
        <v>71</v>
      </c>
      <c r="C11" s="2" t="s">
        <v>72</v>
      </c>
      <c r="D11" s="2" t="s">
        <v>46</v>
      </c>
      <c r="E11" s="3" t="n">
        <v>0</v>
      </c>
      <c r="F11" s="2" t="s">
        <v>73</v>
      </c>
      <c r="G11" s="2" t="s">
        <v>68</v>
      </c>
      <c r="H11" s="2" t="s">
        <v>74</v>
      </c>
      <c r="I11" s="4" t="s">
        <v>16</v>
      </c>
    </row>
    <row r="12" customFormat="false" ht="15" hidden="false" customHeight="false" outlineLevel="0" collapsed="false">
      <c r="A12" s="2" t="s">
        <v>75</v>
      </c>
      <c r="B12" s="2" t="s">
        <v>76</v>
      </c>
      <c r="C12" s="2" t="s">
        <v>77</v>
      </c>
      <c r="D12" s="2" t="s">
        <v>78</v>
      </c>
      <c r="E12" s="3" t="n">
        <v>0</v>
      </c>
      <c r="F12" s="2" t="s">
        <v>79</v>
      </c>
      <c r="G12" s="2" t="s">
        <v>68</v>
      </c>
      <c r="H12" s="2" t="s">
        <v>80</v>
      </c>
      <c r="I12" s="5" t="s">
        <v>55</v>
      </c>
    </row>
    <row r="13" customFormat="false" ht="15" hidden="false" customHeight="false" outlineLevel="0" collapsed="false">
      <c r="A13" s="6" t="s">
        <v>81</v>
      </c>
      <c r="B13" s="7"/>
      <c r="C13" s="7"/>
      <c r="D13" s="7"/>
      <c r="E13" s="8" t="n">
        <f aca="false">SUM(E2:E12)</f>
        <v>18.25</v>
      </c>
      <c r="F13" s="7"/>
      <c r="G13" s="7"/>
      <c r="H13" s="7"/>
      <c r="I13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E676"/>
    <pageSetUpPr fitToPage="false"/>
  </sheetPr>
  <dimension ref="A1:G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6"/>
    <col collapsed="false" customWidth="true" hidden="false" outlineLevel="0" max="3" min="3" style="0" width="35"/>
  </cols>
  <sheetData>
    <row r="1" customFormat="false" ht="15" hidden="false" customHeight="false" outlineLevel="0" collapsed="false">
      <c r="A1" s="9" t="s">
        <v>82</v>
      </c>
      <c r="B1" s="10"/>
      <c r="C1" s="10"/>
      <c r="D1" s="10"/>
      <c r="E1" s="10"/>
      <c r="F1" s="10"/>
      <c r="G1" s="10"/>
    </row>
    <row r="3" customFormat="false" ht="15" hidden="false" customHeight="false" outlineLevel="0" collapsed="false">
      <c r="A3" s="11" t="s">
        <v>83</v>
      </c>
      <c r="B3" s="11"/>
      <c r="C3" s="11"/>
      <c r="D3" s="11"/>
    </row>
    <row r="4" customFormat="false" ht="15" hidden="false" customHeight="false" outlineLevel="0" collapsed="false">
      <c r="A4" s="12" t="s">
        <v>84</v>
      </c>
      <c r="B4" s="13" t="n">
        <v>100</v>
      </c>
      <c r="C4" s="14" t="s">
        <v>85</v>
      </c>
    </row>
    <row r="5" customFormat="false" ht="15" hidden="false" customHeight="false" outlineLevel="0" collapsed="false">
      <c r="A5" s="12" t="s">
        <v>86</v>
      </c>
      <c r="B5" s="13" t="n">
        <v>10</v>
      </c>
      <c r="C5" s="14" t="s">
        <v>85</v>
      </c>
    </row>
    <row r="6" customFormat="false" ht="15" hidden="false" customHeight="false" outlineLevel="0" collapsed="false">
      <c r="A6" s="12" t="s">
        <v>87</v>
      </c>
      <c r="B6" s="13" t="n">
        <v>2</v>
      </c>
      <c r="C6" s="14" t="s">
        <v>85</v>
      </c>
    </row>
    <row r="7" customFormat="false" ht="15" hidden="false" customHeight="false" outlineLevel="0" collapsed="false">
      <c r="A7" s="12" t="s">
        <v>88</v>
      </c>
      <c r="B7" s="15" t="n">
        <v>0.15</v>
      </c>
      <c r="C7" s="14" t="s">
        <v>89</v>
      </c>
    </row>
    <row r="8" customFormat="false" ht="15" hidden="false" customHeight="false" outlineLevel="0" collapsed="false">
      <c r="A8" s="12" t="s">
        <v>90</v>
      </c>
      <c r="B8" s="15" t="n">
        <v>0.08</v>
      </c>
      <c r="C8" s="14" t="s">
        <v>91</v>
      </c>
    </row>
    <row r="9" customFormat="false" ht="15" hidden="false" customHeight="false" outlineLevel="0" collapsed="false">
      <c r="A9" s="12" t="s">
        <v>92</v>
      </c>
      <c r="B9" s="15" t="n">
        <v>0.05</v>
      </c>
      <c r="C9" s="14" t="s">
        <v>93</v>
      </c>
    </row>
    <row r="10" customFormat="false" ht="15" hidden="false" customHeight="false" outlineLevel="0" collapsed="false">
      <c r="A10" s="12" t="s">
        <v>94</v>
      </c>
      <c r="B10" s="15" t="n">
        <v>0.04</v>
      </c>
      <c r="C10" s="14" t="s">
        <v>95</v>
      </c>
    </row>
    <row r="12" customFormat="false" ht="15" hidden="false" customHeight="false" outlineLevel="0" collapsed="false">
      <c r="A12" s="16" t="s">
        <v>96</v>
      </c>
      <c r="B12" s="16"/>
      <c r="C12" s="16"/>
      <c r="D12" s="16"/>
    </row>
    <row r="13" customFormat="false" ht="15" hidden="false" customHeight="false" outlineLevel="0" collapsed="false">
      <c r="A13" s="12" t="s">
        <v>97</v>
      </c>
      <c r="B13" s="17" t="n">
        <v>15</v>
      </c>
      <c r="C13" s="14" t="s">
        <v>98</v>
      </c>
    </row>
    <row r="14" customFormat="false" ht="15" hidden="false" customHeight="false" outlineLevel="0" collapsed="false">
      <c r="A14" s="12" t="s">
        <v>99</v>
      </c>
      <c r="B14" s="17" t="n">
        <v>50</v>
      </c>
      <c r="C14" s="14" t="s">
        <v>100</v>
      </c>
    </row>
    <row r="15" customFormat="false" ht="15" hidden="false" customHeight="false" outlineLevel="0" collapsed="false">
      <c r="A15" s="12" t="s">
        <v>101</v>
      </c>
      <c r="B15" s="17" t="n">
        <v>80</v>
      </c>
      <c r="C15" s="14" t="s">
        <v>102</v>
      </c>
    </row>
    <row r="16" customFormat="false" ht="15" hidden="false" customHeight="false" outlineLevel="0" collapsed="false">
      <c r="A16" s="12" t="s">
        <v>103</v>
      </c>
      <c r="B16" s="18" t="n">
        <v>2.5</v>
      </c>
      <c r="C16" s="14"/>
    </row>
    <row r="17" customFormat="false" ht="15" hidden="false" customHeight="false" outlineLevel="0" collapsed="false">
      <c r="A17" s="12" t="s">
        <v>104</v>
      </c>
      <c r="B17" s="17" t="n">
        <v>800</v>
      </c>
      <c r="C17" s="14" t="s">
        <v>105</v>
      </c>
    </row>
    <row r="18" customFormat="false" ht="15" hidden="false" customHeight="false" outlineLevel="0" collapsed="false">
      <c r="A18" s="12" t="s">
        <v>106</v>
      </c>
      <c r="B18" s="17" t="n">
        <v>200</v>
      </c>
      <c r="C18" s="14" t="s">
        <v>107</v>
      </c>
    </row>
    <row r="19" customFormat="false" ht="15" hidden="false" customHeight="false" outlineLevel="0" collapsed="false">
      <c r="A19" s="12" t="s">
        <v>108</v>
      </c>
      <c r="B19" s="17" t="n">
        <v>150</v>
      </c>
      <c r="C19" s="14" t="s">
        <v>109</v>
      </c>
    </row>
    <row r="20" customFormat="false" ht="15" hidden="false" customHeight="false" outlineLevel="0" collapsed="false">
      <c r="A20" s="12" t="s">
        <v>110</v>
      </c>
      <c r="B20" s="17" t="n">
        <v>2</v>
      </c>
      <c r="C20" s="14" t="s">
        <v>111</v>
      </c>
    </row>
    <row r="22" customFormat="false" ht="15" hidden="false" customHeight="false" outlineLevel="0" collapsed="false">
      <c r="A22" s="19" t="s">
        <v>112</v>
      </c>
      <c r="B22" s="19"/>
      <c r="C22" s="19"/>
      <c r="D22" s="19"/>
    </row>
    <row r="23" customFormat="false" ht="15" hidden="false" customHeight="false" outlineLevel="0" collapsed="false">
      <c r="A23" s="12" t="s">
        <v>113</v>
      </c>
      <c r="B23" s="20" t="n">
        <v>0.0085</v>
      </c>
      <c r="C23" s="14" t="s">
        <v>114</v>
      </c>
    </row>
    <row r="24" customFormat="false" ht="15" hidden="false" customHeight="false" outlineLevel="0" collapsed="false">
      <c r="A24" s="12" t="s">
        <v>115</v>
      </c>
      <c r="B24" s="20" t="n">
        <v>0.014</v>
      </c>
      <c r="C24" s="14" t="s">
        <v>114</v>
      </c>
    </row>
    <row r="25" customFormat="false" ht="15" hidden="false" customHeight="false" outlineLevel="0" collapsed="false">
      <c r="A25" s="12" t="s">
        <v>116</v>
      </c>
      <c r="B25" s="20" t="n">
        <v>0.005</v>
      </c>
      <c r="C25" s="14" t="s">
        <v>117</v>
      </c>
    </row>
    <row r="26" customFormat="false" ht="15" hidden="false" customHeight="false" outlineLevel="0" collapsed="false">
      <c r="A26" s="12" t="s">
        <v>118</v>
      </c>
      <c r="B26" s="21" t="n">
        <v>1.15</v>
      </c>
      <c r="C26" s="14" t="s">
        <v>119</v>
      </c>
    </row>
    <row r="27" customFormat="false" ht="15" hidden="false" customHeight="false" outlineLevel="0" collapsed="false">
      <c r="A27" s="12" t="s">
        <v>120</v>
      </c>
      <c r="B27" s="22" t="n">
        <v>0.15</v>
      </c>
      <c r="C27" s="14" t="s">
        <v>121</v>
      </c>
    </row>
    <row r="28" customFormat="false" ht="15" hidden="false" customHeight="false" outlineLevel="0" collapsed="false">
      <c r="A28" s="12" t="s">
        <v>122</v>
      </c>
      <c r="B28" s="22" t="n">
        <v>0.6</v>
      </c>
      <c r="C28" s="14" t="s">
        <v>121</v>
      </c>
    </row>
    <row r="29" customFormat="false" ht="15" hidden="false" customHeight="false" outlineLevel="0" collapsed="false">
      <c r="A29" s="12" t="s">
        <v>123</v>
      </c>
      <c r="B29" s="21" t="n">
        <v>5</v>
      </c>
      <c r="C29" s="14" t="s">
        <v>124</v>
      </c>
    </row>
    <row r="30" customFormat="false" ht="15" hidden="false" customHeight="false" outlineLevel="0" collapsed="false">
      <c r="A30" s="12" t="s">
        <v>125</v>
      </c>
      <c r="B30" s="21" t="n">
        <v>5</v>
      </c>
      <c r="C30" s="14" t="s">
        <v>126</v>
      </c>
    </row>
    <row r="31" customFormat="false" ht="15" hidden="false" customHeight="false" outlineLevel="0" collapsed="false">
      <c r="A31" s="12" t="s">
        <v>127</v>
      </c>
      <c r="B31" s="21" t="n">
        <v>8.25</v>
      </c>
      <c r="C31" s="14" t="s">
        <v>128</v>
      </c>
    </row>
    <row r="32" customFormat="false" ht="15" hidden="false" customHeight="false" outlineLevel="0" collapsed="false">
      <c r="A32" s="12" t="s">
        <v>129</v>
      </c>
      <c r="B32" s="23" t="n">
        <v>0.15</v>
      </c>
      <c r="C32" s="14" t="s">
        <v>130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9100"/>
    <pageSetUpPr fitToPage="false"/>
  </sheetPr>
  <dimension ref="A1:N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2"/>
    <col collapsed="false" customWidth="true" hidden="false" outlineLevel="0" max="14" min="2" style="0" width="14"/>
  </cols>
  <sheetData>
    <row r="1" customFormat="false" ht="15" hidden="false" customHeight="false" outlineLevel="0" collapsed="false">
      <c r="A1" s="9" t="s">
        <v>131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customFormat="false" ht="15" hidden="false" customHeight="false" outlineLevel="0" collapsed="false">
      <c r="A2" s="24"/>
      <c r="B2" s="25" t="s">
        <v>132</v>
      </c>
      <c r="C2" s="25" t="s">
        <v>133</v>
      </c>
      <c r="D2" s="25" t="s">
        <v>134</v>
      </c>
      <c r="E2" s="25" t="s">
        <v>135</v>
      </c>
      <c r="F2" s="25" t="s">
        <v>136</v>
      </c>
      <c r="G2" s="25" t="s">
        <v>137</v>
      </c>
      <c r="H2" s="25" t="s">
        <v>138</v>
      </c>
      <c r="I2" s="25" t="s">
        <v>139</v>
      </c>
      <c r="J2" s="25" t="s">
        <v>140</v>
      </c>
      <c r="K2" s="25" t="s">
        <v>141</v>
      </c>
      <c r="L2" s="25" t="s">
        <v>142</v>
      </c>
      <c r="M2" s="25" t="s">
        <v>143</v>
      </c>
      <c r="N2" s="26" t="s">
        <v>144</v>
      </c>
    </row>
    <row r="3" customFormat="false" ht="15" hidden="false" customHeight="false" outlineLevel="0" collapsed="false">
      <c r="A3" s="11" t="s">
        <v>145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customFormat="false" ht="15" hidden="false" customHeight="false" outlineLevel="0" collapsed="false">
      <c r="A4" s="12" t="s">
        <v>84</v>
      </c>
      <c r="B4" s="27" t="n">
        <f aca="false">'Modelo Financiero'!B4</f>
        <v>100</v>
      </c>
      <c r="C4" s="28" t="n">
        <f aca="false">ROUND(B4*(1+'Modelo Financiero'!B7)-B4*'Modelo Financiero'!B8-B4*'Modelo Financiero'!B10,0)</f>
        <v>103</v>
      </c>
      <c r="D4" s="28" t="n">
        <f aca="false">ROUND(C4*(1+'Modelo Financiero'!B7)-C4*'Modelo Financiero'!B8-C4*'Modelo Financiero'!B10,0)</f>
        <v>106</v>
      </c>
      <c r="E4" s="28" t="n">
        <f aca="false">ROUND(D4*(1+'Modelo Financiero'!B7)-D4*'Modelo Financiero'!B8-D4*'Modelo Financiero'!B10,0)</f>
        <v>109</v>
      </c>
      <c r="F4" s="28" t="n">
        <f aca="false">ROUND(E4*(1+'Modelo Financiero'!B7)-E4*'Modelo Financiero'!B8-E4*'Modelo Financiero'!B10,0)</f>
        <v>112</v>
      </c>
      <c r="G4" s="28" t="n">
        <f aca="false">ROUND(F4*(1+'Modelo Financiero'!B7)-F4*'Modelo Financiero'!B8-F4*'Modelo Financiero'!B10,0)</f>
        <v>115</v>
      </c>
      <c r="H4" s="28" t="n">
        <f aca="false">ROUND(G4*(1+'Modelo Financiero'!B7)-G4*'Modelo Financiero'!B8-G4*'Modelo Financiero'!B10,0)</f>
        <v>118</v>
      </c>
      <c r="I4" s="28" t="n">
        <f aca="false">ROUND(H4*(1+'Modelo Financiero'!B7)-H4*'Modelo Financiero'!B8-H4*'Modelo Financiero'!B10,0)</f>
        <v>122</v>
      </c>
      <c r="J4" s="28" t="n">
        <f aca="false">ROUND(I4*(1+'Modelo Financiero'!B7)-I4*'Modelo Financiero'!B8-I4*'Modelo Financiero'!B10,0)</f>
        <v>126</v>
      </c>
      <c r="K4" s="28" t="n">
        <f aca="false">ROUND(J4*(1+'Modelo Financiero'!B7)-J4*'Modelo Financiero'!B8-J4*'Modelo Financiero'!B10,0)</f>
        <v>130</v>
      </c>
      <c r="L4" s="28" t="n">
        <f aca="false">ROUND(K4*(1+'Modelo Financiero'!B7)-K4*'Modelo Financiero'!B8-K4*'Modelo Financiero'!B10,0)</f>
        <v>134</v>
      </c>
      <c r="M4" s="28" t="n">
        <f aca="false">ROUND(L4*(1+'Modelo Financiero'!B7)-L4*'Modelo Financiero'!B8-L4*'Modelo Financiero'!B10,0)</f>
        <v>138</v>
      </c>
      <c r="N4" s="28" t="n">
        <f aca="false">M4</f>
        <v>138</v>
      </c>
    </row>
    <row r="5" customFormat="false" ht="15" hidden="false" customHeight="false" outlineLevel="0" collapsed="false">
      <c r="A5" s="12" t="s">
        <v>146</v>
      </c>
      <c r="B5" s="27" t="n">
        <f aca="false">'Modelo Financiero'!B5</f>
        <v>10</v>
      </c>
      <c r="C5" s="28" t="n">
        <f aca="false">ROUND(B5+B4*'Modelo Financiero'!B8-B5*'Modelo Financiero'!B9-B5*'Modelo Financiero'!B10,0)</f>
        <v>17</v>
      </c>
      <c r="D5" s="28" t="n">
        <f aca="false">ROUND(C5+C4*'Modelo Financiero'!B8-C5*'Modelo Financiero'!B9-C5*'Modelo Financiero'!B10,0)</f>
        <v>24</v>
      </c>
      <c r="E5" s="28" t="n">
        <f aca="false">ROUND(D5+D4*'Modelo Financiero'!B8-D5*'Modelo Financiero'!B9-D5*'Modelo Financiero'!B10,0)</f>
        <v>30</v>
      </c>
      <c r="F5" s="28" t="n">
        <f aca="false">ROUND(E5+E4*'Modelo Financiero'!B8-E5*'Modelo Financiero'!B9-E5*'Modelo Financiero'!B10,0)</f>
        <v>36</v>
      </c>
      <c r="G5" s="28" t="n">
        <f aca="false">ROUND(F5+F4*'Modelo Financiero'!B8-F5*'Modelo Financiero'!B9-F5*'Modelo Financiero'!B10,0)</f>
        <v>42</v>
      </c>
      <c r="H5" s="28" t="n">
        <f aca="false">ROUND(G5+G4*'Modelo Financiero'!B8-G5*'Modelo Financiero'!B9-G5*'Modelo Financiero'!B10,0)</f>
        <v>47</v>
      </c>
      <c r="I5" s="28" t="n">
        <f aca="false">ROUND(H5+H4*'Modelo Financiero'!B8-H5*'Modelo Financiero'!B9-H5*'Modelo Financiero'!B10,0)</f>
        <v>52</v>
      </c>
      <c r="J5" s="28" t="n">
        <f aca="false">ROUND(I5+I4*'Modelo Financiero'!B8-I5*'Modelo Financiero'!B9-I5*'Modelo Financiero'!B10,0)</f>
        <v>57</v>
      </c>
      <c r="K5" s="28" t="n">
        <f aca="false">ROUND(J5+J4*'Modelo Financiero'!B8-J5*'Modelo Financiero'!B9-J5*'Modelo Financiero'!B10,0)</f>
        <v>62</v>
      </c>
      <c r="L5" s="28" t="n">
        <f aca="false">ROUND(K5+K4*'Modelo Financiero'!B8-K5*'Modelo Financiero'!B9-K5*'Modelo Financiero'!B10,0)</f>
        <v>67</v>
      </c>
      <c r="M5" s="28" t="n">
        <f aca="false">ROUND(L5+L4*'Modelo Financiero'!B8-L5*'Modelo Financiero'!B9-L5*'Modelo Financiero'!B10,0)</f>
        <v>72</v>
      </c>
      <c r="N5" s="28" t="n">
        <f aca="false">M5</f>
        <v>72</v>
      </c>
    </row>
    <row r="6" customFormat="false" ht="15" hidden="false" customHeight="false" outlineLevel="0" collapsed="false">
      <c r="A6" s="12" t="s">
        <v>147</v>
      </c>
      <c r="B6" s="27" t="n">
        <f aca="false">'Modelo Financiero'!B6</f>
        <v>2</v>
      </c>
      <c r="C6" s="28" t="n">
        <f aca="false">ROUND(B6+B5*'Modelo Financiero'!B9-B6*'Modelo Financiero'!B10,0)</f>
        <v>2</v>
      </c>
      <c r="D6" s="28" t="n">
        <f aca="false">ROUND(C6+C5*'Modelo Financiero'!B9-C6*'Modelo Financiero'!B10,0)</f>
        <v>3</v>
      </c>
      <c r="E6" s="28" t="n">
        <f aca="false">ROUND(D6+D5*'Modelo Financiero'!B9-D6*'Modelo Financiero'!B10,0)</f>
        <v>4</v>
      </c>
      <c r="F6" s="28" t="n">
        <f aca="false">ROUND(E6+E5*'Modelo Financiero'!B9-E6*'Modelo Financiero'!B10,0)</f>
        <v>5</v>
      </c>
      <c r="G6" s="28" t="n">
        <f aca="false">ROUND(F6+F5*'Modelo Financiero'!B9-F6*'Modelo Financiero'!B10,0)</f>
        <v>7</v>
      </c>
      <c r="H6" s="28" t="n">
        <f aca="false">ROUND(G6+G5*'Modelo Financiero'!B9-G6*'Modelo Financiero'!B10,0)</f>
        <v>9</v>
      </c>
      <c r="I6" s="28" t="n">
        <f aca="false">ROUND(H6+H5*'Modelo Financiero'!B9-H6*'Modelo Financiero'!B10,0)</f>
        <v>11</v>
      </c>
      <c r="J6" s="28" t="n">
        <f aca="false">ROUND(I6+I5*'Modelo Financiero'!B9-I6*'Modelo Financiero'!B10,0)</f>
        <v>13</v>
      </c>
      <c r="K6" s="28" t="n">
        <f aca="false">ROUND(J6+J5*'Modelo Financiero'!B9-J6*'Modelo Financiero'!B10,0)</f>
        <v>15</v>
      </c>
      <c r="L6" s="28" t="n">
        <f aca="false">ROUND(K6+K5*'Modelo Financiero'!B9-K6*'Modelo Financiero'!B10,0)</f>
        <v>18</v>
      </c>
      <c r="M6" s="28" t="n">
        <f aca="false">ROUND(L6+L5*'Modelo Financiero'!B9-L6*'Modelo Financiero'!B10,0)</f>
        <v>21</v>
      </c>
      <c r="N6" s="28" t="n">
        <f aca="false">M6</f>
        <v>21</v>
      </c>
    </row>
    <row r="7" customFormat="false" ht="15" hidden="false" customHeight="false" outlineLevel="0" collapsed="false">
      <c r="A7" s="24" t="s">
        <v>148</v>
      </c>
      <c r="B7" s="29" t="n">
        <f aca="false">B4+B5+B6</f>
        <v>112</v>
      </c>
      <c r="C7" s="29" t="n">
        <f aca="false">C4+C5+C6</f>
        <v>122</v>
      </c>
      <c r="D7" s="29" t="n">
        <f aca="false">D4+D5+D6</f>
        <v>133</v>
      </c>
      <c r="E7" s="29" t="n">
        <f aca="false">E4+E5+E6</f>
        <v>143</v>
      </c>
      <c r="F7" s="29" t="n">
        <f aca="false">F4+F5+F6</f>
        <v>153</v>
      </c>
      <c r="G7" s="29" t="n">
        <f aca="false">G4+G5+G6</f>
        <v>164</v>
      </c>
      <c r="H7" s="29" t="n">
        <f aca="false">H4+H5+H6</f>
        <v>174</v>
      </c>
      <c r="I7" s="29" t="n">
        <f aca="false">I4+I5+I6</f>
        <v>185</v>
      </c>
      <c r="J7" s="29" t="n">
        <f aca="false">J4+J5+J6</f>
        <v>196</v>
      </c>
      <c r="K7" s="29" t="n">
        <f aca="false">K4+K5+K6</f>
        <v>207</v>
      </c>
      <c r="L7" s="29" t="n">
        <f aca="false">L4+L5+L6</f>
        <v>219</v>
      </c>
      <c r="M7" s="29" t="n">
        <f aca="false">M4+M5+M6</f>
        <v>231</v>
      </c>
      <c r="N7" s="29" t="n">
        <f aca="false">M7</f>
        <v>231</v>
      </c>
    </row>
    <row r="9" customFormat="false" ht="15" hidden="false" customHeight="false" outlineLevel="0" collapsed="false">
      <c r="A9" s="30" t="s">
        <v>149</v>
      </c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</row>
    <row r="10" customFormat="false" ht="15" hidden="false" customHeight="false" outlineLevel="0" collapsed="false">
      <c r="A10" s="12" t="s">
        <v>150</v>
      </c>
      <c r="B10" s="31" t="n">
        <f aca="false">B5*4.99</f>
        <v>49.9</v>
      </c>
      <c r="C10" s="31" t="n">
        <f aca="false">C5*4.99</f>
        <v>84.83</v>
      </c>
      <c r="D10" s="31" t="n">
        <f aca="false">D5*4.99</f>
        <v>119.76</v>
      </c>
      <c r="E10" s="31" t="n">
        <f aca="false">E5*4.99</f>
        <v>149.7</v>
      </c>
      <c r="F10" s="31" t="n">
        <f aca="false">F5*4.99</f>
        <v>179.64</v>
      </c>
      <c r="G10" s="31" t="n">
        <f aca="false">G5*4.99</f>
        <v>209.58</v>
      </c>
      <c r="H10" s="31" t="n">
        <f aca="false">H5*4.99</f>
        <v>234.53</v>
      </c>
      <c r="I10" s="31" t="n">
        <f aca="false">I5*4.99</f>
        <v>259.48</v>
      </c>
      <c r="J10" s="31" t="n">
        <f aca="false">J5*4.99</f>
        <v>284.43</v>
      </c>
      <c r="K10" s="31" t="n">
        <f aca="false">K5*4.99</f>
        <v>309.38</v>
      </c>
      <c r="L10" s="31" t="n">
        <f aca="false">L5*4.99</f>
        <v>334.33</v>
      </c>
      <c r="M10" s="31" t="n">
        <f aca="false">M5*4.99</f>
        <v>359.28</v>
      </c>
      <c r="N10" s="31" t="n">
        <f aca="false">SUM(B10:M10)</f>
        <v>2574.84</v>
      </c>
    </row>
    <row r="11" customFormat="false" ht="15" hidden="false" customHeight="false" outlineLevel="0" collapsed="false">
      <c r="A11" s="12" t="s">
        <v>151</v>
      </c>
      <c r="B11" s="31" t="n">
        <f aca="false">B6*12.99</f>
        <v>25.98</v>
      </c>
      <c r="C11" s="31" t="n">
        <f aca="false">C6*12.99</f>
        <v>25.98</v>
      </c>
      <c r="D11" s="31" t="n">
        <f aca="false">D6*12.99</f>
        <v>38.97</v>
      </c>
      <c r="E11" s="31" t="n">
        <f aca="false">E6*12.99</f>
        <v>51.96</v>
      </c>
      <c r="F11" s="31" t="n">
        <f aca="false">F6*12.99</f>
        <v>64.95</v>
      </c>
      <c r="G11" s="31" t="n">
        <f aca="false">G6*12.99</f>
        <v>90.93</v>
      </c>
      <c r="H11" s="31" t="n">
        <f aca="false">H6*12.99</f>
        <v>116.91</v>
      </c>
      <c r="I11" s="31" t="n">
        <f aca="false">I6*12.99</f>
        <v>142.89</v>
      </c>
      <c r="J11" s="31" t="n">
        <f aca="false">J6*12.99</f>
        <v>168.87</v>
      </c>
      <c r="K11" s="31" t="n">
        <f aca="false">K6*12.99</f>
        <v>194.85</v>
      </c>
      <c r="L11" s="31" t="n">
        <f aca="false">L6*12.99</f>
        <v>233.82</v>
      </c>
      <c r="M11" s="31" t="n">
        <f aca="false">M6*12.99</f>
        <v>272.79</v>
      </c>
      <c r="N11" s="31" t="n">
        <f aca="false">SUM(B11:M11)</f>
        <v>1428.9</v>
      </c>
    </row>
    <row r="12" customFormat="false" ht="15" hidden="false" customHeight="false" outlineLevel="0" collapsed="false">
      <c r="A12" s="24" t="s">
        <v>152</v>
      </c>
      <c r="B12" s="32" t="n">
        <f aca="false">B10+B11</f>
        <v>75.88</v>
      </c>
      <c r="C12" s="32" t="n">
        <f aca="false">C10+C11</f>
        <v>110.81</v>
      </c>
      <c r="D12" s="32" t="n">
        <f aca="false">D10+D11</f>
        <v>158.73</v>
      </c>
      <c r="E12" s="32" t="n">
        <f aca="false">E10+E11</f>
        <v>201.66</v>
      </c>
      <c r="F12" s="32" t="n">
        <f aca="false">F10+F11</f>
        <v>244.59</v>
      </c>
      <c r="G12" s="32" t="n">
        <f aca="false">G10+G11</f>
        <v>300.51</v>
      </c>
      <c r="H12" s="32" t="n">
        <f aca="false">H10+H11</f>
        <v>351.44</v>
      </c>
      <c r="I12" s="32" t="n">
        <f aca="false">I10+I11</f>
        <v>402.37</v>
      </c>
      <c r="J12" s="32" t="n">
        <f aca="false">J10+J11</f>
        <v>453.3</v>
      </c>
      <c r="K12" s="32" t="n">
        <f aca="false">K10+K11</f>
        <v>504.23</v>
      </c>
      <c r="L12" s="32" t="n">
        <f aca="false">L10+L11</f>
        <v>568.15</v>
      </c>
      <c r="M12" s="32" t="n">
        <f aca="false">M10+M11</f>
        <v>632.07</v>
      </c>
      <c r="N12" s="32" t="n">
        <f aca="false">SUM(B12:M12)</f>
        <v>4003.74</v>
      </c>
    </row>
    <row r="13" customFormat="false" ht="15" hidden="false" customHeight="false" outlineLevel="0" collapsed="false">
      <c r="A13" s="33" t="s">
        <v>153</v>
      </c>
      <c r="B13" s="34" t="n">
        <f aca="false">B12*'Modelo Financiero'!B32</f>
        <v>11.382</v>
      </c>
      <c r="C13" s="34" t="n">
        <f aca="false">C12*'Modelo Financiero'!B32</f>
        <v>16.6215</v>
      </c>
      <c r="D13" s="34" t="n">
        <f aca="false">D12*'Modelo Financiero'!B32</f>
        <v>23.8095</v>
      </c>
      <c r="E13" s="34" t="n">
        <f aca="false">E12*'Modelo Financiero'!B32</f>
        <v>30.249</v>
      </c>
      <c r="F13" s="34" t="n">
        <f aca="false">F12*'Modelo Financiero'!B32</f>
        <v>36.6885</v>
      </c>
      <c r="G13" s="34" t="n">
        <f aca="false">G12*'Modelo Financiero'!B32</f>
        <v>45.0765</v>
      </c>
      <c r="H13" s="34" t="n">
        <f aca="false">H12*'Modelo Financiero'!B32</f>
        <v>52.716</v>
      </c>
      <c r="I13" s="34" t="n">
        <f aca="false">I12*'Modelo Financiero'!B32</f>
        <v>60.3555</v>
      </c>
      <c r="J13" s="34" t="n">
        <f aca="false">J12*'Modelo Financiero'!B32</f>
        <v>67.995</v>
      </c>
      <c r="K13" s="34" t="n">
        <f aca="false">K12*'Modelo Financiero'!B32</f>
        <v>75.6345</v>
      </c>
      <c r="L13" s="34" t="n">
        <f aca="false">L12*'Modelo Financiero'!B32</f>
        <v>85.2225</v>
      </c>
      <c r="M13" s="34" t="n">
        <f aca="false">M12*'Modelo Financiero'!B32</f>
        <v>94.8105</v>
      </c>
      <c r="N13" s="31" t="n">
        <f aca="false">SUM(B13:M13)</f>
        <v>600.561</v>
      </c>
    </row>
    <row r="14" customFormat="false" ht="15" hidden="false" customHeight="false" outlineLevel="0" collapsed="false">
      <c r="A14" s="24" t="s">
        <v>154</v>
      </c>
      <c r="B14" s="32" t="n">
        <f aca="false">B12-B13</f>
        <v>64.498</v>
      </c>
      <c r="C14" s="32" t="n">
        <f aca="false">C12-C13</f>
        <v>94.1885</v>
      </c>
      <c r="D14" s="32" t="n">
        <f aca="false">D12-D13</f>
        <v>134.9205</v>
      </c>
      <c r="E14" s="32" t="n">
        <f aca="false">E12-E13</f>
        <v>171.411</v>
      </c>
      <c r="F14" s="32" t="n">
        <f aca="false">F12-F13</f>
        <v>207.9015</v>
      </c>
      <c r="G14" s="32" t="n">
        <f aca="false">G12-G13</f>
        <v>255.4335</v>
      </c>
      <c r="H14" s="32" t="n">
        <f aca="false">H12-H13</f>
        <v>298.724</v>
      </c>
      <c r="I14" s="32" t="n">
        <f aca="false">I12-I13</f>
        <v>342.0145</v>
      </c>
      <c r="J14" s="32" t="n">
        <f aca="false">J12-J13</f>
        <v>385.305</v>
      </c>
      <c r="K14" s="32" t="n">
        <f aca="false">K12-K13</f>
        <v>428.5955</v>
      </c>
      <c r="L14" s="32" t="n">
        <f aca="false">L12-L13</f>
        <v>482.9275</v>
      </c>
      <c r="M14" s="32" t="n">
        <f aca="false">M12-M13</f>
        <v>537.2595</v>
      </c>
      <c r="N14" s="32" t="n">
        <f aca="false">SUM(B14:M14)</f>
        <v>3403.179</v>
      </c>
    </row>
    <row r="16" customFormat="false" ht="15" hidden="false" customHeight="false" outlineLevel="0" collapsed="false">
      <c r="A16" s="19" t="s">
        <v>155</v>
      </c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</row>
    <row r="17" customFormat="false" ht="15" hidden="false" customHeight="false" outlineLevel="0" collapsed="false">
      <c r="A17" s="12" t="s">
        <v>156</v>
      </c>
      <c r="B17" s="31" t="n">
        <f aca="false">(B4*'Modelo Financiero'!B13+B5*'Modelo Financiero'!B14+B6*'Modelo Financiero'!B15)*'Modelo Financiero'!B16*'Modelo Financiero'!B23</f>
        <v>45.9</v>
      </c>
      <c r="C17" s="31" t="n">
        <f aca="false">(C4*'Modelo Financiero'!B13+C5*'Modelo Financiero'!B14+C6*'Modelo Financiero'!B15)*'Modelo Financiero'!B16*'Modelo Financiero'!B23</f>
        <v>54.29375</v>
      </c>
      <c r="D17" s="31" t="n">
        <f aca="false">(D4*'Modelo Financiero'!B13+D5*'Modelo Financiero'!B14+D6*'Modelo Financiero'!B15)*'Modelo Financiero'!B16*'Modelo Financiero'!B23</f>
        <v>64.3875</v>
      </c>
      <c r="E17" s="31" t="n">
        <f aca="false">(E4*'Modelo Financiero'!B13+E5*'Modelo Financiero'!B14+E6*'Modelo Financiero'!B15)*'Modelo Financiero'!B16*'Modelo Financiero'!B23</f>
        <v>73.41875</v>
      </c>
      <c r="F17" s="31" t="n">
        <f aca="false">(F4*'Modelo Financiero'!B13+F5*'Modelo Financiero'!B14+F6*'Modelo Financiero'!B15)*'Modelo Financiero'!B16*'Modelo Financiero'!B23</f>
        <v>82.45</v>
      </c>
      <c r="G17" s="31" t="n">
        <f aca="false">(G4*'Modelo Financiero'!B13+G5*'Modelo Financiero'!B14+G6*'Modelo Financiero'!B15)*'Modelo Financiero'!B16*'Modelo Financiero'!B23</f>
        <v>93.18125</v>
      </c>
      <c r="H17" s="31" t="n">
        <f aca="false">(H4*'Modelo Financiero'!B13+H5*'Modelo Financiero'!B14+H6*'Modelo Financiero'!B15)*'Modelo Financiero'!B16*'Modelo Financiero'!B23</f>
        <v>102.85</v>
      </c>
      <c r="I17" s="31" t="n">
        <f aca="false">(I4*'Modelo Financiero'!B13+I5*'Modelo Financiero'!B14+I6*'Modelo Financiero'!B15)*'Modelo Financiero'!B16*'Modelo Financiero'!B23</f>
        <v>112.8375</v>
      </c>
      <c r="J17" s="31" t="n">
        <f aca="false">(J4*'Modelo Financiero'!B13+J5*'Modelo Financiero'!B14+J6*'Modelo Financiero'!B15)*'Modelo Financiero'!B16*'Modelo Financiero'!B23</f>
        <v>122.825</v>
      </c>
      <c r="K17" s="31" t="n">
        <f aca="false">(K4*'Modelo Financiero'!B13+K5*'Modelo Financiero'!B14+K6*'Modelo Financiero'!B15)*'Modelo Financiero'!B16*'Modelo Financiero'!B23</f>
        <v>132.8125</v>
      </c>
      <c r="L17" s="31" t="n">
        <f aca="false">(L4*'Modelo Financiero'!B13+L5*'Modelo Financiero'!B14+L6*'Modelo Financiero'!B15)*'Modelo Financiero'!B16*'Modelo Financiero'!B23</f>
        <v>144.5</v>
      </c>
      <c r="M17" s="31" t="n">
        <f aca="false">(M4*'Modelo Financiero'!B13+M5*'Modelo Financiero'!B14+M6*'Modelo Financiero'!B15)*'Modelo Financiero'!B16*'Modelo Financiero'!B23</f>
        <v>156.1875</v>
      </c>
      <c r="N17" s="31" t="n">
        <f aca="false">SUM(B17:M17)</f>
        <v>1185.64375</v>
      </c>
    </row>
    <row r="18" customFormat="false" ht="15" hidden="false" customHeight="false" outlineLevel="0" collapsed="false">
      <c r="A18" s="12" t="s">
        <v>157</v>
      </c>
      <c r="B18" s="31" t="n">
        <f aca="false">(B4*'Modelo Financiero'!B13+B5*'Modelo Financiero'!B14+B6*'Modelo Financiero'!B15)*'Modelo Financiero'!B20*'Modelo Financiero'!B25</f>
        <v>21.6</v>
      </c>
      <c r="C18" s="31" t="n">
        <f aca="false">(C4*'Modelo Financiero'!B13+C5*'Modelo Financiero'!B14+C6*'Modelo Financiero'!B15)*'Modelo Financiero'!B20*'Modelo Financiero'!B25</f>
        <v>25.55</v>
      </c>
      <c r="D18" s="31" t="n">
        <f aca="false">(D4*'Modelo Financiero'!B13+D5*'Modelo Financiero'!B14+D6*'Modelo Financiero'!B15)*'Modelo Financiero'!B20*'Modelo Financiero'!B25</f>
        <v>30.3</v>
      </c>
      <c r="E18" s="31" t="n">
        <f aca="false">(E4*'Modelo Financiero'!B13+E5*'Modelo Financiero'!B14+E6*'Modelo Financiero'!B15)*'Modelo Financiero'!B20*'Modelo Financiero'!B25</f>
        <v>34.55</v>
      </c>
      <c r="F18" s="31" t="n">
        <f aca="false">(F4*'Modelo Financiero'!B13+F5*'Modelo Financiero'!B14+F6*'Modelo Financiero'!B15)*'Modelo Financiero'!B20*'Modelo Financiero'!B25</f>
        <v>38.8</v>
      </c>
      <c r="G18" s="31" t="n">
        <f aca="false">(G4*'Modelo Financiero'!B13+G5*'Modelo Financiero'!B14+G6*'Modelo Financiero'!B15)*'Modelo Financiero'!B20*'Modelo Financiero'!B25</f>
        <v>43.85</v>
      </c>
      <c r="H18" s="31" t="n">
        <f aca="false">(H4*'Modelo Financiero'!B13+H5*'Modelo Financiero'!B14+H6*'Modelo Financiero'!B15)*'Modelo Financiero'!B20*'Modelo Financiero'!B25</f>
        <v>48.4</v>
      </c>
      <c r="I18" s="31" t="n">
        <f aca="false">(I4*'Modelo Financiero'!B13+I5*'Modelo Financiero'!B14+I6*'Modelo Financiero'!B15)*'Modelo Financiero'!B20*'Modelo Financiero'!B25</f>
        <v>53.1</v>
      </c>
      <c r="J18" s="31" t="n">
        <f aca="false">(J4*'Modelo Financiero'!B13+J5*'Modelo Financiero'!B14+J6*'Modelo Financiero'!B15)*'Modelo Financiero'!B20*'Modelo Financiero'!B25</f>
        <v>57.8</v>
      </c>
      <c r="K18" s="31" t="n">
        <f aca="false">(K4*'Modelo Financiero'!B13+K5*'Modelo Financiero'!B14+K6*'Modelo Financiero'!B15)*'Modelo Financiero'!B20*'Modelo Financiero'!B25</f>
        <v>62.5</v>
      </c>
      <c r="L18" s="31" t="n">
        <f aca="false">(L4*'Modelo Financiero'!B13+L5*'Modelo Financiero'!B14+L6*'Modelo Financiero'!B15)*'Modelo Financiero'!B20*'Modelo Financiero'!B25</f>
        <v>68</v>
      </c>
      <c r="M18" s="31" t="n">
        <f aca="false">(M4*'Modelo Financiero'!B13+M5*'Modelo Financiero'!B14+M6*'Modelo Financiero'!B15)*'Modelo Financiero'!B20*'Modelo Financiero'!B25</f>
        <v>73.5</v>
      </c>
      <c r="N18" s="31" t="n">
        <f aca="false">SUM(B18:M18)</f>
        <v>557.95</v>
      </c>
    </row>
    <row r="19" customFormat="false" ht="15" hidden="false" customHeight="false" outlineLevel="0" collapsed="false">
      <c r="A19" s="12" t="s">
        <v>158</v>
      </c>
      <c r="B19" s="31" t="n">
        <f aca="false">'Modelo Financiero'!B26</f>
        <v>1.15</v>
      </c>
      <c r="C19" s="31" t="n">
        <f aca="false">'Modelo Financiero'!B26</f>
        <v>1.15</v>
      </c>
      <c r="D19" s="31" t="n">
        <f aca="false">'Modelo Financiero'!B26</f>
        <v>1.15</v>
      </c>
      <c r="E19" s="31" t="n">
        <f aca="false">'Modelo Financiero'!B26</f>
        <v>1.15</v>
      </c>
      <c r="F19" s="31" t="n">
        <f aca="false">'Modelo Financiero'!B26</f>
        <v>1.15</v>
      </c>
      <c r="G19" s="31" t="n">
        <f aca="false">'Modelo Financiero'!B26</f>
        <v>1.15</v>
      </c>
      <c r="H19" s="31" t="n">
        <f aca="false">'Modelo Financiero'!B26</f>
        <v>1.15</v>
      </c>
      <c r="I19" s="31" t="n">
        <f aca="false">'Modelo Financiero'!B26</f>
        <v>1.15</v>
      </c>
      <c r="J19" s="31" t="n">
        <f aca="false">'Modelo Financiero'!B26</f>
        <v>1.15</v>
      </c>
      <c r="K19" s="31" t="n">
        <f aca="false">'Modelo Financiero'!B26</f>
        <v>1.15</v>
      </c>
      <c r="L19" s="31" t="n">
        <f aca="false">'Modelo Financiero'!B26</f>
        <v>1.15</v>
      </c>
      <c r="M19" s="31" t="n">
        <f aca="false">'Modelo Financiero'!B26</f>
        <v>1.15</v>
      </c>
      <c r="N19" s="31" t="n">
        <f aca="false">SUM(B19:M19)</f>
        <v>13.8</v>
      </c>
    </row>
    <row r="20" customFormat="false" ht="15" hidden="false" customHeight="false" outlineLevel="0" collapsed="false">
      <c r="A20" s="12" t="s">
        <v>159</v>
      </c>
      <c r="B20" s="31" t="n">
        <f aca="false">(B4*'Modelo Financiero'!B13+B5*'Modelo Financiero'!B14+B6*'Modelo Financiero'!B15)*('Modelo Financiero'!B17*'Modelo Financiero'!B27+'Modelo Financiero'!B18*'Modelo Financiero'!B28)/1000000</f>
        <v>0.5184</v>
      </c>
      <c r="C20" s="31" t="n">
        <f aca="false">(C4*'Modelo Financiero'!B13+C5*'Modelo Financiero'!B14+C6*'Modelo Financiero'!B15)*('Modelo Financiero'!B17*'Modelo Financiero'!B27+'Modelo Financiero'!B18*'Modelo Financiero'!B28)/1000000</f>
        <v>0.6132</v>
      </c>
      <c r="D20" s="31" t="n">
        <f aca="false">(D4*'Modelo Financiero'!B13+D5*'Modelo Financiero'!B14+D6*'Modelo Financiero'!B15)*('Modelo Financiero'!B17*'Modelo Financiero'!B27+'Modelo Financiero'!B18*'Modelo Financiero'!B28)/1000000</f>
        <v>0.7272</v>
      </c>
      <c r="E20" s="31" t="n">
        <f aca="false">(E4*'Modelo Financiero'!B13+E5*'Modelo Financiero'!B14+E6*'Modelo Financiero'!B15)*('Modelo Financiero'!B17*'Modelo Financiero'!B27+'Modelo Financiero'!B18*'Modelo Financiero'!B28)/1000000</f>
        <v>0.8292</v>
      </c>
      <c r="F20" s="31" t="n">
        <f aca="false">(F4*'Modelo Financiero'!B13+F5*'Modelo Financiero'!B14+F6*'Modelo Financiero'!B15)*('Modelo Financiero'!B17*'Modelo Financiero'!B27+'Modelo Financiero'!B18*'Modelo Financiero'!B28)/1000000</f>
        <v>0.9312</v>
      </c>
      <c r="G20" s="31" t="n">
        <f aca="false">(G4*'Modelo Financiero'!B13+G5*'Modelo Financiero'!B14+G6*'Modelo Financiero'!B15)*('Modelo Financiero'!B17*'Modelo Financiero'!B27+'Modelo Financiero'!B18*'Modelo Financiero'!B28)/1000000</f>
        <v>1.0524</v>
      </c>
      <c r="H20" s="31" t="n">
        <f aca="false">(H4*'Modelo Financiero'!B13+H5*'Modelo Financiero'!B14+H6*'Modelo Financiero'!B15)*('Modelo Financiero'!B17*'Modelo Financiero'!B27+'Modelo Financiero'!B18*'Modelo Financiero'!B28)/1000000</f>
        <v>1.1616</v>
      </c>
      <c r="I20" s="31" t="n">
        <f aca="false">(I4*'Modelo Financiero'!B13+I5*'Modelo Financiero'!B14+I6*'Modelo Financiero'!B15)*('Modelo Financiero'!B17*'Modelo Financiero'!B27+'Modelo Financiero'!B18*'Modelo Financiero'!B28)/1000000</f>
        <v>1.2744</v>
      </c>
      <c r="J20" s="31" t="n">
        <f aca="false">(J4*'Modelo Financiero'!B13+J5*'Modelo Financiero'!B14+J6*'Modelo Financiero'!B15)*('Modelo Financiero'!B17*'Modelo Financiero'!B27+'Modelo Financiero'!B18*'Modelo Financiero'!B28)/1000000</f>
        <v>1.3872</v>
      </c>
      <c r="K20" s="31" t="n">
        <f aca="false">(K4*'Modelo Financiero'!B13+K5*'Modelo Financiero'!B14+K6*'Modelo Financiero'!B15)*('Modelo Financiero'!B17*'Modelo Financiero'!B27+'Modelo Financiero'!B18*'Modelo Financiero'!B28)/1000000</f>
        <v>1.5</v>
      </c>
      <c r="L20" s="31" t="n">
        <f aca="false">(L4*'Modelo Financiero'!B13+L5*'Modelo Financiero'!B14+L6*'Modelo Financiero'!B15)*('Modelo Financiero'!B17*'Modelo Financiero'!B27+'Modelo Financiero'!B18*'Modelo Financiero'!B28)/1000000</f>
        <v>1.632</v>
      </c>
      <c r="M20" s="31" t="n">
        <f aca="false">(M4*'Modelo Financiero'!B13+M5*'Modelo Financiero'!B14+M6*'Modelo Financiero'!B15)*('Modelo Financiero'!B17*'Modelo Financiero'!B27+'Modelo Financiero'!B18*'Modelo Financiero'!B28)/1000000</f>
        <v>1.764</v>
      </c>
      <c r="N20" s="31" t="n">
        <f aca="false">SUM(B20:M20)</f>
        <v>13.3908</v>
      </c>
    </row>
    <row r="21" customFormat="false" ht="15" hidden="false" customHeight="false" outlineLevel="0" collapsed="false">
      <c r="A21" s="12" t="s">
        <v>160</v>
      </c>
      <c r="B21" s="31" t="n">
        <f aca="false">'Modelo Financiero'!B29</f>
        <v>5</v>
      </c>
      <c r="C21" s="31" t="n">
        <f aca="false">'Modelo Financiero'!B29</f>
        <v>5</v>
      </c>
      <c r="D21" s="31" t="n">
        <f aca="false">'Modelo Financiero'!B29</f>
        <v>5</v>
      </c>
      <c r="E21" s="31" t="n">
        <f aca="false">'Modelo Financiero'!B29</f>
        <v>5</v>
      </c>
      <c r="F21" s="31" t="n">
        <f aca="false">'Modelo Financiero'!B29</f>
        <v>5</v>
      </c>
      <c r="G21" s="31" t="n">
        <f aca="false">'Modelo Financiero'!B29</f>
        <v>5</v>
      </c>
      <c r="H21" s="31" t="n">
        <f aca="false">'Modelo Financiero'!B29</f>
        <v>5</v>
      </c>
      <c r="I21" s="31" t="n">
        <f aca="false">'Modelo Financiero'!B29</f>
        <v>5</v>
      </c>
      <c r="J21" s="31" t="n">
        <f aca="false">'Modelo Financiero'!B29</f>
        <v>5</v>
      </c>
      <c r="K21" s="31" t="n">
        <f aca="false">'Modelo Financiero'!B29</f>
        <v>5</v>
      </c>
      <c r="L21" s="31" t="n">
        <f aca="false">'Modelo Financiero'!B29</f>
        <v>5</v>
      </c>
      <c r="M21" s="31" t="n">
        <f aca="false">'Modelo Financiero'!B29</f>
        <v>5</v>
      </c>
      <c r="N21" s="31" t="n">
        <f aca="false">SUM(B21:M21)</f>
        <v>60</v>
      </c>
    </row>
    <row r="22" customFormat="false" ht="15" hidden="false" customHeight="false" outlineLevel="0" collapsed="false">
      <c r="A22" s="24" t="s">
        <v>161</v>
      </c>
      <c r="B22" s="32" t="n">
        <f aca="false">SUM(B17:B21)</f>
        <v>74.1684</v>
      </c>
      <c r="C22" s="32" t="n">
        <f aca="false">SUM(C17:C21)</f>
        <v>86.60695</v>
      </c>
      <c r="D22" s="32" t="n">
        <f aca="false">SUM(D17:D21)</f>
        <v>101.5647</v>
      </c>
      <c r="E22" s="32" t="n">
        <f aca="false">SUM(E17:E21)</f>
        <v>114.94795</v>
      </c>
      <c r="F22" s="32" t="n">
        <f aca="false">SUM(F17:F21)</f>
        <v>128.3312</v>
      </c>
      <c r="G22" s="32" t="n">
        <f aca="false">SUM(G17:G21)</f>
        <v>144.23365</v>
      </c>
      <c r="H22" s="32" t="n">
        <f aca="false">SUM(H17:H21)</f>
        <v>158.5616</v>
      </c>
      <c r="I22" s="32" t="n">
        <f aca="false">SUM(I17:I21)</f>
        <v>173.3619</v>
      </c>
      <c r="J22" s="32" t="n">
        <f aca="false">SUM(J17:J21)</f>
        <v>188.1622</v>
      </c>
      <c r="K22" s="32" t="n">
        <f aca="false">SUM(K17:K21)</f>
        <v>202.9625</v>
      </c>
      <c r="L22" s="32" t="n">
        <f aca="false">SUM(L17:L21)</f>
        <v>220.282</v>
      </c>
      <c r="M22" s="32" t="n">
        <f aca="false">SUM(M17:M21)</f>
        <v>237.6015</v>
      </c>
      <c r="N22" s="32" t="n">
        <f aca="false">SUM(B22:M22)</f>
        <v>1830.78455</v>
      </c>
    </row>
    <row r="24" customFormat="false" ht="15" hidden="false" customHeight="false" outlineLevel="0" collapsed="false">
      <c r="A24" s="19" t="s">
        <v>162</v>
      </c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</row>
    <row r="25" customFormat="false" ht="15" hidden="false" customHeight="false" outlineLevel="0" collapsed="false">
      <c r="A25" s="12" t="s">
        <v>163</v>
      </c>
      <c r="B25" s="31" t="n">
        <f aca="false">'Modelo Financiero'!B30</f>
        <v>5</v>
      </c>
      <c r="C25" s="31" t="n">
        <f aca="false">'Modelo Financiero'!B30</f>
        <v>5</v>
      </c>
      <c r="D25" s="31" t="n">
        <f aca="false">'Modelo Financiero'!B30</f>
        <v>5</v>
      </c>
      <c r="E25" s="31" t="n">
        <f aca="false">'Modelo Financiero'!B30</f>
        <v>5</v>
      </c>
      <c r="F25" s="31" t="n">
        <f aca="false">'Modelo Financiero'!B30</f>
        <v>5</v>
      </c>
      <c r="G25" s="31" t="n">
        <f aca="false">'Modelo Financiero'!B30</f>
        <v>5</v>
      </c>
      <c r="H25" s="31" t="n">
        <f aca="false">'Modelo Financiero'!B30</f>
        <v>5</v>
      </c>
      <c r="I25" s="31" t="n">
        <f aca="false">'Modelo Financiero'!B30</f>
        <v>5</v>
      </c>
      <c r="J25" s="31" t="n">
        <f aca="false">'Modelo Financiero'!B30</f>
        <v>5</v>
      </c>
      <c r="K25" s="31" t="n">
        <f aca="false">'Modelo Financiero'!B30</f>
        <v>5</v>
      </c>
      <c r="L25" s="31" t="n">
        <f aca="false">'Modelo Financiero'!B30</f>
        <v>5</v>
      </c>
      <c r="M25" s="31" t="n">
        <f aca="false">'Modelo Financiero'!B30</f>
        <v>5</v>
      </c>
      <c r="N25" s="31" t="n">
        <f aca="false">SUM(B25:M25)</f>
        <v>60</v>
      </c>
    </row>
    <row r="26" customFormat="false" ht="15" hidden="false" customHeight="false" outlineLevel="0" collapsed="false">
      <c r="A26" s="12" t="s">
        <v>164</v>
      </c>
      <c r="B26" s="31" t="n">
        <f aca="false">'Modelo Financiero'!B31</f>
        <v>8.25</v>
      </c>
      <c r="C26" s="31" t="n">
        <f aca="false">'Modelo Financiero'!B31</f>
        <v>8.25</v>
      </c>
      <c r="D26" s="31" t="n">
        <f aca="false">'Modelo Financiero'!B31</f>
        <v>8.25</v>
      </c>
      <c r="E26" s="31" t="n">
        <f aca="false">'Modelo Financiero'!B31</f>
        <v>8.25</v>
      </c>
      <c r="F26" s="31" t="n">
        <f aca="false">'Modelo Financiero'!B31</f>
        <v>8.25</v>
      </c>
      <c r="G26" s="31" t="n">
        <f aca="false">'Modelo Financiero'!B31</f>
        <v>8.25</v>
      </c>
      <c r="H26" s="31" t="n">
        <f aca="false">'Modelo Financiero'!B31</f>
        <v>8.25</v>
      </c>
      <c r="I26" s="31" t="n">
        <f aca="false">'Modelo Financiero'!B31</f>
        <v>8.25</v>
      </c>
      <c r="J26" s="31" t="n">
        <f aca="false">'Modelo Financiero'!B31</f>
        <v>8.25</v>
      </c>
      <c r="K26" s="31" t="n">
        <f aca="false">'Modelo Financiero'!B31</f>
        <v>8.25</v>
      </c>
      <c r="L26" s="31" t="n">
        <f aca="false">'Modelo Financiero'!B31</f>
        <v>8.25</v>
      </c>
      <c r="M26" s="31" t="n">
        <f aca="false">'Modelo Financiero'!B31</f>
        <v>8.25</v>
      </c>
      <c r="N26" s="31" t="n">
        <f aca="false">SUM(B26:M26)</f>
        <v>99</v>
      </c>
    </row>
    <row r="27" customFormat="false" ht="15" hidden="false" customHeight="false" outlineLevel="0" collapsed="false">
      <c r="A27" s="24" t="s">
        <v>165</v>
      </c>
      <c r="B27" s="32" t="n">
        <f aca="false">B25+B26</f>
        <v>13.25</v>
      </c>
      <c r="C27" s="32" t="n">
        <f aca="false">C25+C26</f>
        <v>13.25</v>
      </c>
      <c r="D27" s="32" t="n">
        <f aca="false">D25+D26</f>
        <v>13.25</v>
      </c>
      <c r="E27" s="32" t="n">
        <f aca="false">E25+E26</f>
        <v>13.25</v>
      </c>
      <c r="F27" s="32" t="n">
        <f aca="false">F25+F26</f>
        <v>13.25</v>
      </c>
      <c r="G27" s="32" t="n">
        <f aca="false">G25+G26</f>
        <v>13.25</v>
      </c>
      <c r="H27" s="32" t="n">
        <f aca="false">H25+H26</f>
        <v>13.25</v>
      </c>
      <c r="I27" s="32" t="n">
        <f aca="false">I25+I26</f>
        <v>13.25</v>
      </c>
      <c r="J27" s="32" t="n">
        <f aca="false">J25+J26</f>
        <v>13.25</v>
      </c>
      <c r="K27" s="32" t="n">
        <f aca="false">K25+K26</f>
        <v>13.25</v>
      </c>
      <c r="L27" s="32" t="n">
        <f aca="false">L25+L26</f>
        <v>13.25</v>
      </c>
      <c r="M27" s="32" t="n">
        <f aca="false">M25+M26</f>
        <v>13.25</v>
      </c>
      <c r="N27" s="32" t="n">
        <f aca="false">SUM(B27:M27)</f>
        <v>159</v>
      </c>
    </row>
    <row r="29" customFormat="false" ht="15" hidden="false" customHeight="false" outlineLevel="0" collapsed="false">
      <c r="A29" s="30" t="s">
        <v>166</v>
      </c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</row>
    <row r="30" customFormat="false" ht="15" hidden="false" customHeight="false" outlineLevel="0" collapsed="false">
      <c r="A30" s="24" t="s">
        <v>167</v>
      </c>
      <c r="B30" s="32" t="n">
        <f aca="false">B22+B27</f>
        <v>87.4184</v>
      </c>
      <c r="C30" s="32" t="n">
        <f aca="false">C22+C27</f>
        <v>99.85695</v>
      </c>
      <c r="D30" s="32" t="n">
        <f aca="false">D22+D27</f>
        <v>114.8147</v>
      </c>
      <c r="E30" s="32" t="n">
        <f aca="false">E22+E27</f>
        <v>128.19795</v>
      </c>
      <c r="F30" s="32" t="n">
        <f aca="false">F22+F27</f>
        <v>141.5812</v>
      </c>
      <c r="G30" s="32" t="n">
        <f aca="false">G22+G27</f>
        <v>157.48365</v>
      </c>
      <c r="H30" s="32" t="n">
        <f aca="false">H22+H27</f>
        <v>171.8116</v>
      </c>
      <c r="I30" s="32" t="n">
        <f aca="false">I22+I27</f>
        <v>186.6119</v>
      </c>
      <c r="J30" s="32" t="n">
        <f aca="false">J22+J27</f>
        <v>201.4122</v>
      </c>
      <c r="K30" s="32" t="n">
        <f aca="false">K22+K27</f>
        <v>216.2125</v>
      </c>
      <c r="L30" s="32" t="n">
        <f aca="false">L22+L27</f>
        <v>233.532</v>
      </c>
      <c r="M30" s="32" t="n">
        <f aca="false">M22+M27</f>
        <v>250.8515</v>
      </c>
      <c r="N30" s="35" t="n">
        <f aca="false">SUM(B30:M30)</f>
        <v>1989.78455</v>
      </c>
    </row>
    <row r="31" customFormat="false" ht="15" hidden="false" customHeight="false" outlineLevel="0" collapsed="false">
      <c r="A31" s="24" t="s">
        <v>154</v>
      </c>
      <c r="B31" s="36" t="n">
        <f aca="false">B14</f>
        <v>64.498</v>
      </c>
      <c r="C31" s="36" t="n">
        <f aca="false">C14</f>
        <v>94.1885</v>
      </c>
      <c r="D31" s="36" t="n">
        <f aca="false">D14</f>
        <v>134.9205</v>
      </c>
      <c r="E31" s="36" t="n">
        <f aca="false">E14</f>
        <v>171.411</v>
      </c>
      <c r="F31" s="36" t="n">
        <f aca="false">F14</f>
        <v>207.9015</v>
      </c>
      <c r="G31" s="36" t="n">
        <f aca="false">G14</f>
        <v>255.4335</v>
      </c>
      <c r="H31" s="36" t="n">
        <f aca="false">H14</f>
        <v>298.724</v>
      </c>
      <c r="I31" s="36" t="n">
        <f aca="false">I14</f>
        <v>342.0145</v>
      </c>
      <c r="J31" s="36" t="n">
        <f aca="false">J14</f>
        <v>385.305</v>
      </c>
      <c r="K31" s="36" t="n">
        <f aca="false">K14</f>
        <v>428.5955</v>
      </c>
      <c r="L31" s="36" t="n">
        <f aca="false">L14</f>
        <v>482.9275</v>
      </c>
      <c r="M31" s="36" t="n">
        <f aca="false">M14</f>
        <v>537.2595</v>
      </c>
      <c r="N31" s="35" t="n">
        <f aca="false">SUM(B31:M31)</f>
        <v>3403.179</v>
      </c>
    </row>
    <row r="32" customFormat="false" ht="16.15" hidden="false" customHeight="false" outlineLevel="0" collapsed="false">
      <c r="A32" s="37" t="s">
        <v>168</v>
      </c>
      <c r="B32" s="38" t="n">
        <f aca="false">B31-B30</f>
        <v>-22.9204</v>
      </c>
      <c r="C32" s="38" t="n">
        <f aca="false">C31-C30</f>
        <v>-5.66844999999999</v>
      </c>
      <c r="D32" s="38" t="n">
        <f aca="false">D31-D30</f>
        <v>20.1058</v>
      </c>
      <c r="E32" s="38" t="n">
        <f aca="false">E31-E30</f>
        <v>43.21305</v>
      </c>
      <c r="F32" s="38" t="n">
        <f aca="false">F31-F30</f>
        <v>66.3203</v>
      </c>
      <c r="G32" s="38" t="n">
        <f aca="false">G31-G30</f>
        <v>97.94985</v>
      </c>
      <c r="H32" s="38" t="n">
        <f aca="false">H31-H30</f>
        <v>126.9124</v>
      </c>
      <c r="I32" s="38" t="n">
        <f aca="false">I31-I30</f>
        <v>155.4026</v>
      </c>
      <c r="J32" s="38" t="n">
        <f aca="false">J31-J30</f>
        <v>183.8928</v>
      </c>
      <c r="K32" s="38" t="n">
        <f aca="false">K31-K30</f>
        <v>212.383</v>
      </c>
      <c r="L32" s="38" t="n">
        <f aca="false">L31-L30</f>
        <v>249.3955</v>
      </c>
      <c r="M32" s="38" t="n">
        <f aca="false">M31-M30</f>
        <v>286.408</v>
      </c>
      <c r="N32" s="38" t="n">
        <f aca="false">SUM(B32:M32)</f>
        <v>1413.39445</v>
      </c>
    </row>
    <row r="33" customFormat="false" ht="15" hidden="false" customHeight="false" outlineLevel="0" collapsed="false">
      <c r="A33" s="24" t="s">
        <v>169</v>
      </c>
      <c r="B33" s="39" t="n">
        <f aca="false">IF(B31=0,0,B32/B31)</f>
        <v>-0.355366057862259</v>
      </c>
      <c r="C33" s="39" t="n">
        <f aca="false">IF(C31=0,0,C32/C31)</f>
        <v>-0.0601819755065639</v>
      </c>
      <c r="D33" s="39" t="n">
        <f aca="false">IF(D31=0,0,D32/D31)</f>
        <v>0.149019607843137</v>
      </c>
      <c r="E33" s="39" t="n">
        <f aca="false">IF(E31=0,0,E32/E31)</f>
        <v>0.252101965451459</v>
      </c>
      <c r="F33" s="39" t="n">
        <f aca="false">IF(F31=0,0,F32/F31)</f>
        <v>0.318998660423325</v>
      </c>
      <c r="G33" s="39" t="n">
        <f aca="false">IF(G31=0,0,G32/G31)</f>
        <v>0.383465168037865</v>
      </c>
      <c r="H33" s="39" t="n">
        <f aca="false">IF(H31=0,0,H32/H31)</f>
        <v>0.424848355003281</v>
      </c>
      <c r="I33" s="39" t="n">
        <f aca="false">IF(I31=0,0,I32/I31)</f>
        <v>0.454374302843885</v>
      </c>
      <c r="J33" s="39" t="n">
        <f aca="false">IF(J31=0,0,J32/J31)</f>
        <v>0.477265542881613</v>
      </c>
      <c r="K33" s="39" t="n">
        <f aca="false">IF(K31=0,0,K32/K31)</f>
        <v>0.495532500924531</v>
      </c>
      <c r="L33" s="39" t="n">
        <f aca="false">IF(L31=0,0,L32/L31)</f>
        <v>0.516424307996542</v>
      </c>
      <c r="M33" s="39" t="n">
        <f aca="false">IF(M31=0,0,M32/M31)</f>
        <v>0.533090620082102</v>
      </c>
      <c r="N33" s="40" t="n">
        <f aca="false">IF(N31=0,0,N32/N31)</f>
        <v>0.415315929605819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5252"/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18"/>
    <col collapsed="false" customWidth="true" hidden="false" outlineLevel="0" max="3" min="3" style="0" width="30"/>
  </cols>
  <sheetData>
    <row r="1" customFormat="false" ht="15" hidden="false" customHeight="false" outlineLevel="0" collapsed="false">
      <c r="A1" s="9" t="s">
        <v>170</v>
      </c>
      <c r="B1" s="10"/>
      <c r="C1" s="10"/>
      <c r="D1" s="10"/>
    </row>
    <row r="3" customFormat="false" ht="15" hidden="false" customHeight="false" outlineLevel="0" collapsed="false">
      <c r="A3" s="24" t="s">
        <v>171</v>
      </c>
      <c r="B3" s="36" t="n">
        <f aca="false">'Proyección 12 Meses'!B27</f>
        <v>13.25</v>
      </c>
    </row>
    <row r="4" customFormat="false" ht="15" hidden="false" customHeight="false" outlineLevel="0" collapsed="false">
      <c r="A4" s="14" t="s">
        <v>172</v>
      </c>
      <c r="B4" s="27" t="n">
        <f aca="false">'Proyección 12 Meses'!B4</f>
        <v>100</v>
      </c>
    </row>
    <row r="5" customFormat="false" ht="15" hidden="false" customHeight="false" outlineLevel="0" collapsed="false">
      <c r="A5" s="12" t="s">
        <v>173</v>
      </c>
      <c r="B5" s="21" t="n">
        <v>4.99</v>
      </c>
    </row>
    <row r="6" customFormat="false" ht="15" hidden="false" customHeight="false" outlineLevel="0" collapsed="false">
      <c r="A6" s="12" t="s">
        <v>174</v>
      </c>
      <c r="B6" s="21" t="n">
        <v>12.99</v>
      </c>
    </row>
    <row r="7" customFormat="false" ht="15" hidden="false" customHeight="false" outlineLevel="0" collapsed="false">
      <c r="A7" s="12" t="s">
        <v>175</v>
      </c>
      <c r="B7" s="31" t="n">
        <f aca="false">B5*(1-0.15)</f>
        <v>4.2415</v>
      </c>
    </row>
    <row r="8" customFormat="false" ht="15" hidden="false" customHeight="false" outlineLevel="0" collapsed="false">
      <c r="A8" s="12" t="s">
        <v>176</v>
      </c>
      <c r="B8" s="31" t="n">
        <f aca="false">B6*(1-0.15)</f>
        <v>11.0415</v>
      </c>
    </row>
    <row r="10" customFormat="false" ht="15" hidden="false" customHeight="false" outlineLevel="0" collapsed="false">
      <c r="A10" s="12" t="s">
        <v>177</v>
      </c>
      <c r="B10" s="41" t="n">
        <f aca="false">('Proyección 12 Meses'!B22-'Modelo Financiero'!B29)/(B4*15+B5*50+B6*80)</f>
        <v>0.0248030982178076</v>
      </c>
      <c r="C10" s="14" t="s">
        <v>178</v>
      </c>
    </row>
    <row r="12" customFormat="false" ht="17.35" hidden="false" customHeight="false" outlineLevel="0" collapsed="false">
      <c r="A12" s="42" t="s">
        <v>179</v>
      </c>
      <c r="B12" s="43" t="n">
        <f aca="false">IF(B7=0,0,CEILING(B3/B7,1))</f>
        <v>4</v>
      </c>
      <c r="C12" s="14" t="s">
        <v>180</v>
      </c>
    </row>
    <row r="14" customFormat="false" ht="17.35" hidden="false" customHeight="false" outlineLevel="0" collapsed="false">
      <c r="A14" s="42" t="s">
        <v>181</v>
      </c>
      <c r="B14" s="43" t="n">
        <f aca="false">IF(B8=0,0,CEILING(B3/B8,1))</f>
        <v>2</v>
      </c>
      <c r="C14" s="14" t="s">
        <v>180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2026-03-12T13:42:43Z</dcterms:created>
  <dc:creator>openpyxl</dc:creator>
  <dc:description/>
  <dc:language>en-US</dc:language>
  <cp:lastModifiedBy/>
  <dcterms:modified xsi:type="dcterms:W3CDTF">2026-03-12T13:42:43Z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